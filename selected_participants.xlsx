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rbag\Downloads\Hopefully final\"/>
    </mc:Choice>
  </mc:AlternateContent>
  <xr:revisionPtr revIDLastSave="0" documentId="13_ncr:1_{88ECC472-214D-4A0A-9923-12ACA1C25F6F}" xr6:coauthVersionLast="47" xr6:coauthVersionMax="47" xr10:uidLastSave="{00000000-0000-0000-0000-000000000000}"/>
  <bookViews>
    <workbookView xWindow="-98" yWindow="-98" windowWidth="21795" windowHeight="12975" xr2:uid="{A81F380C-F854-4AED-82C8-AB3D28C7F786}"/>
  </bookViews>
  <sheets>
    <sheet name="selected_participants" sheetId="1" r:id="rId1"/>
  </sheets>
  <definedNames>
    <definedName name="_xlnm._FilterDatabase" localSheetId="0" hidden="1">selected_participants!$A$1:$L$254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" i="1" l="1"/>
  <c r="Q2" i="1"/>
  <c r="R2" i="1"/>
  <c r="P2" i="1"/>
</calcChain>
</file>

<file path=xl/sharedStrings.xml><?xml version="1.0" encoding="utf-8"?>
<sst xmlns="http://schemas.openxmlformats.org/spreadsheetml/2006/main" count="1231" uniqueCount="30">
  <si>
    <t>PtID</t>
  </si>
  <si>
    <t>TrtGroup</t>
  </si>
  <si>
    <t>RandDt</t>
  </si>
  <si>
    <t>AgeAsofEnrollDt</t>
  </si>
  <si>
    <t>RCTPtStatus</t>
  </si>
  <si>
    <t>SiteID</t>
  </si>
  <si>
    <t>DiabTrt</t>
  </si>
  <si>
    <t>TotDlyIns</t>
  </si>
  <si>
    <t>TotDlyBasOrLongIns</t>
  </si>
  <si>
    <t>DlyBolShortInhNbr</t>
  </si>
  <si>
    <t>CGMType</t>
  </si>
  <si>
    <t>StudyGroup</t>
  </si>
  <si>
    <t>BP</t>
  </si>
  <si>
    <t>Completed</t>
  </si>
  <si>
    <t>Multiple daily injections</t>
  </si>
  <si>
    <t>Dexcom</t>
  </si>
  <si>
    <t>Bionic Pancreas</t>
  </si>
  <si>
    <t>Patch pump</t>
  </si>
  <si>
    <t>Control</t>
  </si>
  <si>
    <t>Continued non-closed-loop treatment</t>
  </si>
  <si>
    <t>Conventional pump without automation</t>
  </si>
  <si>
    <t>BPFiasp</t>
  </si>
  <si>
    <t>Medtronic</t>
  </si>
  <si>
    <t>Abbott</t>
  </si>
  <si>
    <t>Senseonics</t>
  </si>
  <si>
    <t>Dropped</t>
  </si>
  <si>
    <t>TOTAL PATIENTS</t>
  </si>
  <si>
    <t># Control</t>
  </si>
  <si>
    <t>#BP</t>
  </si>
  <si>
    <t>#BPFiasp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</si>
</sst>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/>
    <xf numFmtId="0" fontId="0" fillId="33" borderId="0" xfId="0" applyFill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941E1-BBFF-44F6-8823-5025DEC9EBB9}">
  <sheetPr filterMode="1"/>
  <dimension ref="A1:S254"/>
  <sheetViews>
    <sheetView tabSelected="1" topLeftCell="L1" zoomScale="115" zoomScaleNormal="115" workbookViewId="0">
      <selection activeCell="U6" sqref="U6"/>
    </sheetView>
  </sheetViews>
  <sheetFormatPr defaultRowHeight="14.25" x14ac:dyDescent="0.45"/>
  <cols>
    <col min="1" max="1" width="4" bestFit="1" customWidth="1"/>
    <col min="2" max="2" width="7.6640625" bestFit="1" customWidth="1"/>
    <col min="3" max="3" width="14.86328125" bestFit="1" customWidth="1"/>
    <col min="4" max="4" width="13.33203125" bestFit="1" customWidth="1"/>
    <col min="5" max="5" width="10.46484375" bestFit="1" customWidth="1"/>
    <col min="6" max="6" width="5.3984375" bestFit="1" customWidth="1"/>
    <col min="7" max="7" width="32" bestFit="1" customWidth="1"/>
    <col min="8" max="8" width="8" bestFit="1" customWidth="1"/>
    <col min="9" max="9" width="16.53125" bestFit="1" customWidth="1"/>
    <col min="10" max="10" width="15.33203125" bestFit="1" customWidth="1"/>
    <col min="11" max="11" width="8.19921875" bestFit="1" customWidth="1"/>
    <col min="12" max="12" width="30.53125" bestFit="1" customWidth="1"/>
    <col min="16" max="16" width="13.796875" bestFit="1" customWidth="1"/>
  </cols>
  <sheetData>
    <row r="1" spans="1:1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O1" s="2" t="s">
        <v>0</v>
      </c>
      <c r="P1" s="2" t="s">
        <v>26</v>
      </c>
      <c r="Q1" s="2" t="s">
        <v>27</v>
      </c>
      <c r="R1" s="2" t="s">
        <v>28</v>
      </c>
      <c r="S1" s="2" t="s">
        <v>29</v>
      </c>
    </row>
    <row r="2" spans="1:19" x14ac:dyDescent="0.45">
      <c r="A2">
        <v>235</v>
      </c>
      <c r="B2" t="s">
        <v>12</v>
      </c>
      <c r="C2" s="1">
        <v>44115.552777777775</v>
      </c>
      <c r="D2">
        <v>11</v>
      </c>
      <c r="E2" t="s">
        <v>13</v>
      </c>
      <c r="F2">
        <v>16</v>
      </c>
      <c r="G2" t="s">
        <v>14</v>
      </c>
      <c r="H2">
        <v>30</v>
      </c>
      <c r="I2">
        <v>14</v>
      </c>
      <c r="J2">
        <v>6</v>
      </c>
      <c r="K2" t="s">
        <v>15</v>
      </c>
      <c r="L2" t="s">
        <v>16</v>
      </c>
      <c r="O2">
        <v>235</v>
      </c>
      <c r="P2" s="3">
        <f>COUNT(O:O)</f>
        <v>252</v>
      </c>
      <c r="Q2">
        <f>COUNTIF(B2:B254,"Control")</f>
        <v>62</v>
      </c>
      <c r="R2">
        <f>COUNTIF(B2:B254,"BP")</f>
        <v>130</v>
      </c>
      <c r="S2">
        <f>COUNTIF(B2:B252,"BPFiasp")</f>
        <v>61</v>
      </c>
    </row>
    <row r="3" spans="1:19" x14ac:dyDescent="0.45">
      <c r="A3">
        <v>407</v>
      </c>
      <c r="B3" t="s">
        <v>12</v>
      </c>
      <c r="C3" s="1">
        <v>44051.48541666667</v>
      </c>
      <c r="D3">
        <v>15</v>
      </c>
      <c r="E3" t="s">
        <v>13</v>
      </c>
      <c r="F3">
        <v>16</v>
      </c>
      <c r="G3" t="s">
        <v>17</v>
      </c>
      <c r="H3">
        <v>51.7</v>
      </c>
      <c r="I3">
        <v>25.5</v>
      </c>
      <c r="J3">
        <v>4</v>
      </c>
      <c r="K3" t="s">
        <v>15</v>
      </c>
      <c r="L3" t="s">
        <v>16</v>
      </c>
      <c r="O3">
        <v>407</v>
      </c>
    </row>
    <row r="4" spans="1:19" x14ac:dyDescent="0.45">
      <c r="A4">
        <v>118</v>
      </c>
      <c r="B4" t="s">
        <v>18</v>
      </c>
      <c r="C4" s="1">
        <v>43848.658333333333</v>
      </c>
      <c r="D4">
        <v>33</v>
      </c>
      <c r="E4" t="s">
        <v>13</v>
      </c>
      <c r="F4">
        <v>16</v>
      </c>
      <c r="G4" t="s">
        <v>14</v>
      </c>
      <c r="H4">
        <v>98</v>
      </c>
      <c r="I4">
        <v>58</v>
      </c>
      <c r="J4">
        <v>4</v>
      </c>
      <c r="K4" t="s">
        <v>15</v>
      </c>
      <c r="L4" t="s">
        <v>19</v>
      </c>
      <c r="O4">
        <v>118</v>
      </c>
    </row>
    <row r="5" spans="1:19" x14ac:dyDescent="0.45">
      <c r="A5">
        <v>35</v>
      </c>
      <c r="B5" t="s">
        <v>18</v>
      </c>
      <c r="C5" s="1">
        <v>44082.47152777778</v>
      </c>
      <c r="D5">
        <v>50</v>
      </c>
      <c r="E5" t="s">
        <v>13</v>
      </c>
      <c r="F5">
        <v>16</v>
      </c>
      <c r="G5" t="s">
        <v>14</v>
      </c>
      <c r="H5">
        <v>33</v>
      </c>
      <c r="I5">
        <v>23</v>
      </c>
      <c r="J5">
        <v>4</v>
      </c>
      <c r="K5" t="s">
        <v>15</v>
      </c>
      <c r="L5" t="s">
        <v>19</v>
      </c>
      <c r="O5">
        <v>35</v>
      </c>
    </row>
    <row r="6" spans="1:19" x14ac:dyDescent="0.45">
      <c r="A6">
        <v>314</v>
      </c>
      <c r="B6" t="s">
        <v>12</v>
      </c>
      <c r="C6" s="1">
        <v>44049.70416666667</v>
      </c>
      <c r="D6">
        <v>21</v>
      </c>
      <c r="E6" t="s">
        <v>13</v>
      </c>
      <c r="F6">
        <v>16</v>
      </c>
      <c r="G6" t="s">
        <v>14</v>
      </c>
      <c r="H6">
        <v>36</v>
      </c>
      <c r="I6">
        <v>16</v>
      </c>
      <c r="J6">
        <v>2</v>
      </c>
      <c r="L6" t="s">
        <v>16</v>
      </c>
      <c r="O6">
        <v>314</v>
      </c>
    </row>
    <row r="7" spans="1:19" x14ac:dyDescent="0.45">
      <c r="A7">
        <v>24</v>
      </c>
      <c r="B7" t="s">
        <v>18</v>
      </c>
      <c r="C7" s="1">
        <v>43907.638194444444</v>
      </c>
      <c r="D7">
        <v>11</v>
      </c>
      <c r="E7" t="s">
        <v>13</v>
      </c>
      <c r="F7">
        <v>16</v>
      </c>
      <c r="G7" t="s">
        <v>20</v>
      </c>
      <c r="H7">
        <v>42.9</v>
      </c>
      <c r="I7">
        <v>22.2</v>
      </c>
      <c r="J7">
        <v>7</v>
      </c>
      <c r="K7" t="s">
        <v>15</v>
      </c>
      <c r="L7" t="s">
        <v>19</v>
      </c>
      <c r="O7">
        <v>24</v>
      </c>
    </row>
    <row r="8" spans="1:19" x14ac:dyDescent="0.45">
      <c r="A8">
        <v>93</v>
      </c>
      <c r="B8" t="s">
        <v>12</v>
      </c>
      <c r="C8" s="1">
        <v>43890.547222222223</v>
      </c>
      <c r="D8">
        <v>8</v>
      </c>
      <c r="E8" t="s">
        <v>13</v>
      </c>
      <c r="F8">
        <v>16</v>
      </c>
      <c r="G8" t="s">
        <v>17</v>
      </c>
      <c r="H8">
        <v>29.2</v>
      </c>
      <c r="I8">
        <v>15.2</v>
      </c>
      <c r="K8" t="s">
        <v>15</v>
      </c>
      <c r="L8" t="s">
        <v>16</v>
      </c>
      <c r="O8">
        <v>93</v>
      </c>
    </row>
    <row r="9" spans="1:19" x14ac:dyDescent="0.45">
      <c r="A9">
        <v>176</v>
      </c>
      <c r="B9" t="s">
        <v>21</v>
      </c>
      <c r="C9" s="1">
        <v>43960.526388888888</v>
      </c>
      <c r="D9">
        <v>64</v>
      </c>
      <c r="E9" t="s">
        <v>13</v>
      </c>
      <c r="F9">
        <v>16</v>
      </c>
      <c r="G9" t="s">
        <v>17</v>
      </c>
      <c r="H9">
        <v>31.4</v>
      </c>
      <c r="I9">
        <v>19.7</v>
      </c>
      <c r="J9">
        <v>4</v>
      </c>
      <c r="K9" t="s">
        <v>15</v>
      </c>
      <c r="L9" t="s">
        <v>16</v>
      </c>
      <c r="O9">
        <v>176</v>
      </c>
    </row>
    <row r="10" spans="1:19" x14ac:dyDescent="0.45">
      <c r="A10">
        <v>193</v>
      </c>
      <c r="B10" t="s">
        <v>12</v>
      </c>
      <c r="C10" s="1">
        <v>43975.509722222225</v>
      </c>
      <c r="D10">
        <v>14</v>
      </c>
      <c r="E10" t="s">
        <v>13</v>
      </c>
      <c r="F10">
        <v>16</v>
      </c>
      <c r="G10" t="s">
        <v>14</v>
      </c>
      <c r="H10">
        <v>49</v>
      </c>
      <c r="I10">
        <v>19</v>
      </c>
      <c r="J10">
        <v>3</v>
      </c>
      <c r="L10" t="s">
        <v>16</v>
      </c>
      <c r="O10">
        <v>193</v>
      </c>
    </row>
    <row r="11" spans="1:19" x14ac:dyDescent="0.45">
      <c r="A11">
        <v>228</v>
      </c>
      <c r="B11" t="s">
        <v>18</v>
      </c>
      <c r="C11" s="1">
        <v>44191.527777777781</v>
      </c>
      <c r="D11">
        <v>8</v>
      </c>
      <c r="E11" t="s">
        <v>13</v>
      </c>
      <c r="F11">
        <v>16</v>
      </c>
      <c r="G11" t="s">
        <v>14</v>
      </c>
      <c r="H11">
        <v>30</v>
      </c>
      <c r="I11">
        <v>14</v>
      </c>
      <c r="J11">
        <v>5</v>
      </c>
      <c r="K11" t="s">
        <v>15</v>
      </c>
      <c r="L11" t="s">
        <v>19</v>
      </c>
      <c r="O11">
        <v>228</v>
      </c>
    </row>
    <row r="12" spans="1:19" x14ac:dyDescent="0.45">
      <c r="A12">
        <v>534</v>
      </c>
      <c r="B12" t="s">
        <v>12</v>
      </c>
      <c r="C12" s="1">
        <v>43940.609722222223</v>
      </c>
      <c r="D12">
        <v>12</v>
      </c>
      <c r="E12" t="s">
        <v>13</v>
      </c>
      <c r="F12">
        <v>16</v>
      </c>
      <c r="G12" t="s">
        <v>14</v>
      </c>
      <c r="H12">
        <v>132</v>
      </c>
      <c r="I12">
        <v>70</v>
      </c>
      <c r="J12">
        <v>3</v>
      </c>
      <c r="K12" t="s">
        <v>15</v>
      </c>
      <c r="L12" t="s">
        <v>16</v>
      </c>
      <c r="O12">
        <v>534</v>
      </c>
    </row>
    <row r="13" spans="1:19" x14ac:dyDescent="0.45">
      <c r="A13">
        <v>289</v>
      </c>
      <c r="B13" t="s">
        <v>12</v>
      </c>
      <c r="C13" s="1">
        <v>44037.579861111109</v>
      </c>
      <c r="D13">
        <v>10</v>
      </c>
      <c r="E13" t="s">
        <v>13</v>
      </c>
      <c r="F13">
        <v>16</v>
      </c>
      <c r="G13" t="s">
        <v>14</v>
      </c>
      <c r="H13">
        <v>26</v>
      </c>
      <c r="I13">
        <v>14</v>
      </c>
      <c r="J13">
        <v>4</v>
      </c>
      <c r="K13" t="s">
        <v>15</v>
      </c>
      <c r="L13" t="s">
        <v>16</v>
      </c>
      <c r="O13">
        <v>289</v>
      </c>
    </row>
    <row r="14" spans="1:19" x14ac:dyDescent="0.45">
      <c r="A14">
        <v>375</v>
      </c>
      <c r="B14" t="s">
        <v>18</v>
      </c>
      <c r="C14" s="1">
        <v>44039.577777777777</v>
      </c>
      <c r="D14">
        <v>11</v>
      </c>
      <c r="E14" t="s">
        <v>13</v>
      </c>
      <c r="F14">
        <v>8</v>
      </c>
      <c r="G14" t="s">
        <v>17</v>
      </c>
      <c r="H14">
        <v>27.7</v>
      </c>
      <c r="I14">
        <v>14.6</v>
      </c>
      <c r="J14">
        <v>7</v>
      </c>
      <c r="K14" t="s">
        <v>15</v>
      </c>
      <c r="L14" t="s">
        <v>19</v>
      </c>
      <c r="O14">
        <v>375</v>
      </c>
    </row>
    <row r="15" spans="1:19" x14ac:dyDescent="0.45">
      <c r="A15">
        <v>54</v>
      </c>
      <c r="B15" t="s">
        <v>12</v>
      </c>
      <c r="C15" s="1">
        <v>43992.551388888889</v>
      </c>
      <c r="D15">
        <v>14</v>
      </c>
      <c r="E15" t="s">
        <v>13</v>
      </c>
      <c r="F15">
        <v>8</v>
      </c>
      <c r="G15" t="s">
        <v>20</v>
      </c>
      <c r="H15">
        <v>68.7</v>
      </c>
      <c r="I15">
        <v>37.5</v>
      </c>
      <c r="J15">
        <v>2</v>
      </c>
      <c r="K15" t="s">
        <v>15</v>
      </c>
      <c r="L15" t="s">
        <v>16</v>
      </c>
      <c r="O15">
        <v>54</v>
      </c>
    </row>
    <row r="16" spans="1:19" x14ac:dyDescent="0.45">
      <c r="A16">
        <v>554</v>
      </c>
      <c r="B16" t="s">
        <v>21</v>
      </c>
      <c r="C16" s="1">
        <v>43978.534722222219</v>
      </c>
      <c r="D16">
        <v>47</v>
      </c>
      <c r="E16" t="s">
        <v>13</v>
      </c>
      <c r="F16">
        <v>8</v>
      </c>
      <c r="G16" t="s">
        <v>14</v>
      </c>
      <c r="H16">
        <v>28</v>
      </c>
      <c r="I16">
        <v>12</v>
      </c>
      <c r="J16">
        <v>4</v>
      </c>
      <c r="K16" t="s">
        <v>15</v>
      </c>
      <c r="L16" t="s">
        <v>16</v>
      </c>
      <c r="O16">
        <v>554</v>
      </c>
    </row>
    <row r="17" spans="1:15" x14ac:dyDescent="0.45">
      <c r="A17">
        <v>224</v>
      </c>
      <c r="B17" t="s">
        <v>12</v>
      </c>
      <c r="C17" s="1">
        <v>44098.595138888886</v>
      </c>
      <c r="D17">
        <v>13</v>
      </c>
      <c r="E17" t="s">
        <v>13</v>
      </c>
      <c r="F17">
        <v>8</v>
      </c>
      <c r="G17" t="s">
        <v>14</v>
      </c>
      <c r="H17">
        <v>55</v>
      </c>
      <c r="I17">
        <v>16</v>
      </c>
      <c r="J17">
        <v>5</v>
      </c>
      <c r="K17" t="s">
        <v>15</v>
      </c>
      <c r="L17" t="s">
        <v>16</v>
      </c>
      <c r="O17">
        <v>224</v>
      </c>
    </row>
    <row r="18" spans="1:15" x14ac:dyDescent="0.45">
      <c r="A18">
        <v>368</v>
      </c>
      <c r="B18" t="s">
        <v>18</v>
      </c>
      <c r="C18" s="1">
        <v>44162.761805555558</v>
      </c>
      <c r="D18">
        <v>9</v>
      </c>
      <c r="E18" t="s">
        <v>13</v>
      </c>
      <c r="F18">
        <v>8</v>
      </c>
      <c r="G18" t="s">
        <v>14</v>
      </c>
      <c r="H18">
        <v>25</v>
      </c>
      <c r="I18">
        <v>7</v>
      </c>
      <c r="J18">
        <v>7</v>
      </c>
      <c r="K18" t="s">
        <v>15</v>
      </c>
      <c r="L18" t="s">
        <v>19</v>
      </c>
      <c r="O18">
        <v>368</v>
      </c>
    </row>
    <row r="19" spans="1:15" x14ac:dyDescent="0.45">
      <c r="A19">
        <v>328</v>
      </c>
      <c r="B19" t="s">
        <v>12</v>
      </c>
      <c r="C19" s="1">
        <v>44161.618055555555</v>
      </c>
      <c r="D19">
        <v>12</v>
      </c>
      <c r="E19" t="s">
        <v>13</v>
      </c>
      <c r="F19">
        <v>8</v>
      </c>
      <c r="G19" t="s">
        <v>17</v>
      </c>
      <c r="H19">
        <v>74.7</v>
      </c>
      <c r="I19">
        <v>23.9</v>
      </c>
      <c r="J19">
        <v>4</v>
      </c>
      <c r="K19" t="s">
        <v>15</v>
      </c>
      <c r="L19" t="s">
        <v>16</v>
      </c>
      <c r="O19">
        <v>328</v>
      </c>
    </row>
    <row r="20" spans="1:15" x14ac:dyDescent="0.45">
      <c r="A20">
        <v>558</v>
      </c>
      <c r="B20" t="s">
        <v>18</v>
      </c>
      <c r="C20" s="1">
        <v>44085.618750000001</v>
      </c>
      <c r="D20">
        <v>8</v>
      </c>
      <c r="E20" t="s">
        <v>13</v>
      </c>
      <c r="F20">
        <v>8</v>
      </c>
      <c r="G20" t="s">
        <v>17</v>
      </c>
      <c r="H20">
        <v>37.4</v>
      </c>
      <c r="I20">
        <v>13.7</v>
      </c>
      <c r="J20">
        <v>4</v>
      </c>
      <c r="K20" t="s">
        <v>15</v>
      </c>
      <c r="L20" t="s">
        <v>19</v>
      </c>
      <c r="O20">
        <v>558</v>
      </c>
    </row>
    <row r="21" spans="1:15" x14ac:dyDescent="0.45">
      <c r="A21">
        <v>395</v>
      </c>
      <c r="B21" t="s">
        <v>18</v>
      </c>
      <c r="C21" s="1">
        <v>44231.781944444447</v>
      </c>
      <c r="D21">
        <v>61</v>
      </c>
      <c r="E21" t="s">
        <v>13</v>
      </c>
      <c r="F21">
        <v>8</v>
      </c>
      <c r="G21" t="s">
        <v>17</v>
      </c>
      <c r="H21">
        <v>27.8</v>
      </c>
      <c r="I21">
        <v>11.5</v>
      </c>
      <c r="J21">
        <v>4</v>
      </c>
      <c r="K21" t="s">
        <v>15</v>
      </c>
      <c r="L21" t="s">
        <v>19</v>
      </c>
      <c r="O21">
        <v>395</v>
      </c>
    </row>
    <row r="22" spans="1:15" x14ac:dyDescent="0.45">
      <c r="A22">
        <v>483</v>
      </c>
      <c r="B22" t="s">
        <v>21</v>
      </c>
      <c r="C22" s="1">
        <v>44070.618055555555</v>
      </c>
      <c r="D22">
        <v>22</v>
      </c>
      <c r="E22" t="s">
        <v>13</v>
      </c>
      <c r="F22">
        <v>8</v>
      </c>
      <c r="G22" t="s">
        <v>14</v>
      </c>
      <c r="H22">
        <v>45</v>
      </c>
      <c r="I22">
        <v>16</v>
      </c>
      <c r="J22">
        <v>5</v>
      </c>
      <c r="K22" t="s">
        <v>15</v>
      </c>
      <c r="L22" t="s">
        <v>16</v>
      </c>
      <c r="O22">
        <v>483</v>
      </c>
    </row>
    <row r="23" spans="1:15" x14ac:dyDescent="0.45">
      <c r="A23">
        <v>551</v>
      </c>
      <c r="B23" t="s">
        <v>12</v>
      </c>
      <c r="C23" s="1">
        <v>43860.713888888888</v>
      </c>
      <c r="D23">
        <v>11</v>
      </c>
      <c r="E23" t="s">
        <v>13</v>
      </c>
      <c r="F23">
        <v>8</v>
      </c>
      <c r="G23" t="s">
        <v>17</v>
      </c>
      <c r="K23" t="s">
        <v>15</v>
      </c>
      <c r="L23" t="s">
        <v>16</v>
      </c>
      <c r="O23">
        <v>551</v>
      </c>
    </row>
    <row r="24" spans="1:15" x14ac:dyDescent="0.45">
      <c r="A24">
        <v>525</v>
      </c>
      <c r="B24" t="s">
        <v>12</v>
      </c>
      <c r="C24" s="1">
        <v>44015.677083333336</v>
      </c>
      <c r="D24">
        <v>7</v>
      </c>
      <c r="E24" t="s">
        <v>13</v>
      </c>
      <c r="F24">
        <v>8</v>
      </c>
      <c r="G24" t="s">
        <v>17</v>
      </c>
      <c r="H24">
        <v>25.1</v>
      </c>
      <c r="I24">
        <v>11.3</v>
      </c>
      <c r="J24">
        <v>10</v>
      </c>
      <c r="K24" t="s">
        <v>15</v>
      </c>
      <c r="L24" t="s">
        <v>16</v>
      </c>
      <c r="O24">
        <v>525</v>
      </c>
    </row>
    <row r="25" spans="1:15" x14ac:dyDescent="0.45">
      <c r="A25">
        <v>114</v>
      </c>
      <c r="B25" t="s">
        <v>18</v>
      </c>
      <c r="C25" s="1">
        <v>44081.57708333333</v>
      </c>
      <c r="D25">
        <v>9</v>
      </c>
      <c r="E25" t="s">
        <v>13</v>
      </c>
      <c r="F25">
        <v>8</v>
      </c>
      <c r="G25" t="s">
        <v>14</v>
      </c>
      <c r="H25">
        <v>45</v>
      </c>
      <c r="I25">
        <v>13</v>
      </c>
      <c r="J25">
        <v>4</v>
      </c>
      <c r="K25" t="s">
        <v>15</v>
      </c>
      <c r="L25" t="s">
        <v>19</v>
      </c>
      <c r="O25">
        <v>114</v>
      </c>
    </row>
    <row r="26" spans="1:15" x14ac:dyDescent="0.45">
      <c r="A26">
        <v>387</v>
      </c>
      <c r="B26" t="s">
        <v>12</v>
      </c>
      <c r="C26" s="1">
        <v>44278.751388888886</v>
      </c>
      <c r="D26">
        <v>6</v>
      </c>
      <c r="E26" t="s">
        <v>13</v>
      </c>
      <c r="F26">
        <v>8</v>
      </c>
      <c r="G26" t="s">
        <v>17</v>
      </c>
      <c r="H26">
        <v>18.7</v>
      </c>
      <c r="I26">
        <v>11.3</v>
      </c>
      <c r="J26">
        <v>6</v>
      </c>
      <c r="K26" t="s">
        <v>15</v>
      </c>
      <c r="L26" t="s">
        <v>16</v>
      </c>
      <c r="O26">
        <v>387</v>
      </c>
    </row>
    <row r="27" spans="1:15" x14ac:dyDescent="0.45">
      <c r="A27">
        <v>198</v>
      </c>
      <c r="B27" t="s">
        <v>12</v>
      </c>
      <c r="C27" s="1">
        <v>44187.887499999997</v>
      </c>
      <c r="D27">
        <v>6</v>
      </c>
      <c r="E27" t="s">
        <v>13</v>
      </c>
      <c r="F27">
        <v>8</v>
      </c>
      <c r="G27" t="s">
        <v>14</v>
      </c>
      <c r="H27">
        <v>18</v>
      </c>
      <c r="I27">
        <v>6</v>
      </c>
      <c r="J27">
        <v>5</v>
      </c>
      <c r="K27" t="s">
        <v>15</v>
      </c>
      <c r="L27" t="s">
        <v>16</v>
      </c>
      <c r="O27">
        <v>198</v>
      </c>
    </row>
    <row r="28" spans="1:15" x14ac:dyDescent="0.45">
      <c r="A28">
        <v>222</v>
      </c>
      <c r="B28" t="s">
        <v>12</v>
      </c>
      <c r="C28" s="1">
        <v>44019.481249999997</v>
      </c>
      <c r="D28">
        <v>27</v>
      </c>
      <c r="E28" t="s">
        <v>13</v>
      </c>
      <c r="F28">
        <v>8</v>
      </c>
      <c r="G28" t="s">
        <v>14</v>
      </c>
      <c r="H28">
        <v>63</v>
      </c>
      <c r="I28">
        <v>18</v>
      </c>
      <c r="J28">
        <v>2</v>
      </c>
      <c r="L28" t="s">
        <v>16</v>
      </c>
      <c r="O28">
        <v>222</v>
      </c>
    </row>
    <row r="29" spans="1:15" x14ac:dyDescent="0.45">
      <c r="A29">
        <v>443</v>
      </c>
      <c r="B29" t="s">
        <v>12</v>
      </c>
      <c r="C29" s="1">
        <v>44147.438194444447</v>
      </c>
      <c r="D29">
        <v>44</v>
      </c>
      <c r="E29" t="s">
        <v>13</v>
      </c>
      <c r="F29">
        <v>12</v>
      </c>
      <c r="G29" t="s">
        <v>20</v>
      </c>
      <c r="H29">
        <v>30</v>
      </c>
      <c r="I29">
        <v>12</v>
      </c>
      <c r="J29">
        <v>6</v>
      </c>
      <c r="K29" t="s">
        <v>15</v>
      </c>
      <c r="L29" t="s">
        <v>16</v>
      </c>
      <c r="O29">
        <v>443</v>
      </c>
    </row>
    <row r="30" spans="1:15" x14ac:dyDescent="0.45">
      <c r="A30">
        <v>41</v>
      </c>
      <c r="B30" t="s">
        <v>18</v>
      </c>
      <c r="C30" s="1">
        <v>43994.654861111114</v>
      </c>
      <c r="D30">
        <v>21</v>
      </c>
      <c r="E30" t="s">
        <v>13</v>
      </c>
      <c r="F30">
        <v>12</v>
      </c>
      <c r="G30" t="s">
        <v>20</v>
      </c>
      <c r="H30">
        <v>42</v>
      </c>
      <c r="I30">
        <v>13</v>
      </c>
      <c r="J30">
        <v>10</v>
      </c>
      <c r="K30" t="s">
        <v>15</v>
      </c>
      <c r="L30" t="s">
        <v>19</v>
      </c>
      <c r="O30">
        <v>41</v>
      </c>
    </row>
    <row r="31" spans="1:15" x14ac:dyDescent="0.45">
      <c r="A31">
        <v>446</v>
      </c>
      <c r="B31" t="s">
        <v>12</v>
      </c>
      <c r="C31" s="1">
        <v>43920.377083333333</v>
      </c>
      <c r="D31">
        <v>64</v>
      </c>
      <c r="E31" t="s">
        <v>13</v>
      </c>
      <c r="F31">
        <v>12</v>
      </c>
      <c r="G31" t="s">
        <v>14</v>
      </c>
      <c r="H31">
        <v>112</v>
      </c>
      <c r="I31">
        <v>55</v>
      </c>
      <c r="J31">
        <v>5</v>
      </c>
      <c r="L31" t="s">
        <v>16</v>
      </c>
      <c r="O31">
        <v>446</v>
      </c>
    </row>
    <row r="32" spans="1:15" x14ac:dyDescent="0.45">
      <c r="A32">
        <v>290</v>
      </c>
      <c r="B32" t="s">
        <v>12</v>
      </c>
      <c r="C32" s="1">
        <v>44081.422222222223</v>
      </c>
      <c r="D32">
        <v>48</v>
      </c>
      <c r="E32" t="s">
        <v>13</v>
      </c>
      <c r="F32">
        <v>12</v>
      </c>
      <c r="G32" t="s">
        <v>20</v>
      </c>
      <c r="H32">
        <v>40.700000000000003</v>
      </c>
      <c r="I32">
        <v>19.3</v>
      </c>
      <c r="J32">
        <v>8</v>
      </c>
      <c r="K32" t="s">
        <v>15</v>
      </c>
      <c r="L32" t="s">
        <v>16</v>
      </c>
      <c r="O32">
        <v>290</v>
      </c>
    </row>
    <row r="33" spans="1:15" x14ac:dyDescent="0.45">
      <c r="A33">
        <v>184</v>
      </c>
      <c r="B33" t="s">
        <v>21</v>
      </c>
      <c r="C33" s="1">
        <v>44187.57708333333</v>
      </c>
      <c r="D33">
        <v>31</v>
      </c>
      <c r="E33" t="s">
        <v>13</v>
      </c>
      <c r="F33">
        <v>12</v>
      </c>
      <c r="G33" t="s">
        <v>14</v>
      </c>
      <c r="H33">
        <v>115</v>
      </c>
      <c r="I33">
        <v>20</v>
      </c>
      <c r="J33">
        <v>8</v>
      </c>
      <c r="L33" t="s">
        <v>16</v>
      </c>
      <c r="O33">
        <v>184</v>
      </c>
    </row>
    <row r="34" spans="1:15" x14ac:dyDescent="0.45">
      <c r="A34">
        <v>111</v>
      </c>
      <c r="B34" t="s">
        <v>21</v>
      </c>
      <c r="C34" s="1">
        <v>44129.564583333333</v>
      </c>
      <c r="D34">
        <v>43</v>
      </c>
      <c r="E34" t="s">
        <v>13</v>
      </c>
      <c r="F34">
        <v>12</v>
      </c>
      <c r="G34" t="s">
        <v>20</v>
      </c>
      <c r="H34">
        <v>42</v>
      </c>
      <c r="I34">
        <v>24</v>
      </c>
      <c r="J34">
        <v>8</v>
      </c>
      <c r="L34" t="s">
        <v>16</v>
      </c>
      <c r="O34">
        <v>111</v>
      </c>
    </row>
    <row r="35" spans="1:15" x14ac:dyDescent="0.45">
      <c r="A35">
        <v>155</v>
      </c>
      <c r="B35" t="s">
        <v>12</v>
      </c>
      <c r="C35" s="1">
        <v>44249.668749999997</v>
      </c>
      <c r="D35">
        <v>39</v>
      </c>
      <c r="E35" t="s">
        <v>13</v>
      </c>
      <c r="F35">
        <v>12</v>
      </c>
      <c r="G35" t="s">
        <v>20</v>
      </c>
      <c r="H35">
        <v>28</v>
      </c>
      <c r="I35">
        <v>14</v>
      </c>
      <c r="J35">
        <v>5</v>
      </c>
      <c r="K35" t="s">
        <v>22</v>
      </c>
      <c r="L35" t="s">
        <v>16</v>
      </c>
      <c r="O35">
        <v>155</v>
      </c>
    </row>
    <row r="36" spans="1:15" x14ac:dyDescent="0.45">
      <c r="A36">
        <v>38</v>
      </c>
      <c r="B36" t="s">
        <v>21</v>
      </c>
      <c r="C36" s="1">
        <v>44238.359027777777</v>
      </c>
      <c r="D36">
        <v>58</v>
      </c>
      <c r="E36" t="s">
        <v>13</v>
      </c>
      <c r="F36">
        <v>12</v>
      </c>
      <c r="G36" t="s">
        <v>20</v>
      </c>
      <c r="H36">
        <v>50</v>
      </c>
      <c r="I36">
        <v>30</v>
      </c>
      <c r="J36">
        <v>5</v>
      </c>
      <c r="K36" t="s">
        <v>22</v>
      </c>
      <c r="L36" t="s">
        <v>16</v>
      </c>
      <c r="O36">
        <v>38</v>
      </c>
    </row>
    <row r="37" spans="1:15" x14ac:dyDescent="0.45">
      <c r="A37">
        <v>231</v>
      </c>
      <c r="B37" t="s">
        <v>18</v>
      </c>
      <c r="C37" s="1">
        <v>44275.422222222223</v>
      </c>
      <c r="D37">
        <v>34</v>
      </c>
      <c r="E37" t="s">
        <v>13</v>
      </c>
      <c r="F37">
        <v>12</v>
      </c>
      <c r="G37" t="s">
        <v>20</v>
      </c>
      <c r="H37">
        <v>45</v>
      </c>
      <c r="I37">
        <v>22.4</v>
      </c>
      <c r="J37">
        <v>4</v>
      </c>
      <c r="L37" t="s">
        <v>19</v>
      </c>
      <c r="O37">
        <v>231</v>
      </c>
    </row>
    <row r="38" spans="1:15" x14ac:dyDescent="0.45">
      <c r="A38">
        <v>92</v>
      </c>
      <c r="B38" t="s">
        <v>12</v>
      </c>
      <c r="C38" s="1">
        <v>44284.675694444442</v>
      </c>
      <c r="D38">
        <v>46</v>
      </c>
      <c r="E38" t="s">
        <v>13</v>
      </c>
      <c r="F38">
        <v>12</v>
      </c>
      <c r="G38" t="s">
        <v>14</v>
      </c>
      <c r="H38">
        <v>80</v>
      </c>
      <c r="I38">
        <v>34</v>
      </c>
      <c r="J38">
        <v>6</v>
      </c>
      <c r="K38" t="s">
        <v>23</v>
      </c>
      <c r="L38" t="s">
        <v>16</v>
      </c>
      <c r="O38">
        <v>92</v>
      </c>
    </row>
    <row r="39" spans="1:15" x14ac:dyDescent="0.45">
      <c r="A39">
        <v>265</v>
      </c>
      <c r="B39" t="s">
        <v>18</v>
      </c>
      <c r="C39" s="1">
        <v>44190.394444444442</v>
      </c>
      <c r="D39">
        <v>30</v>
      </c>
      <c r="E39" t="s">
        <v>13</v>
      </c>
      <c r="F39">
        <v>12</v>
      </c>
      <c r="G39" t="s">
        <v>14</v>
      </c>
      <c r="H39">
        <v>55</v>
      </c>
      <c r="I39">
        <v>27</v>
      </c>
      <c r="J39">
        <v>4</v>
      </c>
      <c r="K39" t="s">
        <v>23</v>
      </c>
      <c r="L39" t="s">
        <v>19</v>
      </c>
      <c r="O39">
        <v>265</v>
      </c>
    </row>
    <row r="40" spans="1:15" x14ac:dyDescent="0.45">
      <c r="A40">
        <v>577</v>
      </c>
      <c r="B40" t="s">
        <v>21</v>
      </c>
      <c r="C40" s="1">
        <v>44173.640277777777</v>
      </c>
      <c r="D40">
        <v>52</v>
      </c>
      <c r="E40" t="s">
        <v>13</v>
      </c>
      <c r="F40">
        <v>12</v>
      </c>
      <c r="G40" t="s">
        <v>14</v>
      </c>
      <c r="H40">
        <v>113</v>
      </c>
      <c r="I40">
        <v>65</v>
      </c>
      <c r="J40">
        <v>5</v>
      </c>
      <c r="K40" t="s">
        <v>15</v>
      </c>
      <c r="L40" t="s">
        <v>16</v>
      </c>
      <c r="O40">
        <v>577</v>
      </c>
    </row>
    <row r="41" spans="1:15" x14ac:dyDescent="0.45">
      <c r="A41">
        <v>162</v>
      </c>
      <c r="B41" t="s">
        <v>21</v>
      </c>
      <c r="C41" s="1">
        <v>44122.388888888891</v>
      </c>
      <c r="D41">
        <v>41</v>
      </c>
      <c r="E41" t="s">
        <v>13</v>
      </c>
      <c r="F41">
        <v>12</v>
      </c>
      <c r="G41" t="s">
        <v>20</v>
      </c>
      <c r="H41">
        <v>35</v>
      </c>
      <c r="I41">
        <v>25</v>
      </c>
      <c r="J41">
        <v>5</v>
      </c>
      <c r="K41" t="s">
        <v>22</v>
      </c>
      <c r="L41" t="s">
        <v>16</v>
      </c>
      <c r="O41">
        <v>162</v>
      </c>
    </row>
    <row r="42" spans="1:15" x14ac:dyDescent="0.45">
      <c r="A42">
        <v>195</v>
      </c>
      <c r="B42" t="s">
        <v>21</v>
      </c>
      <c r="C42" s="1">
        <v>44019.602083333331</v>
      </c>
      <c r="D42">
        <v>40</v>
      </c>
      <c r="E42" t="s">
        <v>13</v>
      </c>
      <c r="F42">
        <v>12</v>
      </c>
      <c r="G42" t="s">
        <v>20</v>
      </c>
      <c r="H42">
        <v>45</v>
      </c>
      <c r="I42">
        <v>25.5</v>
      </c>
      <c r="J42">
        <v>4</v>
      </c>
      <c r="K42" t="s">
        <v>23</v>
      </c>
      <c r="L42" t="s">
        <v>16</v>
      </c>
      <c r="O42">
        <v>195</v>
      </c>
    </row>
    <row r="43" spans="1:15" x14ac:dyDescent="0.45">
      <c r="A43">
        <v>36</v>
      </c>
      <c r="B43" t="s">
        <v>12</v>
      </c>
      <c r="C43" s="1">
        <v>44107.640972222223</v>
      </c>
      <c r="D43">
        <v>34</v>
      </c>
      <c r="E43" t="s">
        <v>13</v>
      </c>
      <c r="F43">
        <v>12</v>
      </c>
      <c r="G43" t="s">
        <v>20</v>
      </c>
      <c r="H43">
        <v>32</v>
      </c>
      <c r="I43">
        <v>19</v>
      </c>
      <c r="J43">
        <v>7</v>
      </c>
      <c r="K43" t="s">
        <v>23</v>
      </c>
      <c r="L43" t="s">
        <v>16</v>
      </c>
      <c r="O43">
        <v>36</v>
      </c>
    </row>
    <row r="44" spans="1:15" x14ac:dyDescent="0.45">
      <c r="A44">
        <v>317</v>
      </c>
      <c r="B44" t="s">
        <v>12</v>
      </c>
      <c r="C44" s="1">
        <v>44125.387499999997</v>
      </c>
      <c r="D44">
        <v>52</v>
      </c>
      <c r="E44" t="s">
        <v>13</v>
      </c>
      <c r="F44">
        <v>12</v>
      </c>
      <c r="G44" t="s">
        <v>20</v>
      </c>
      <c r="H44">
        <v>20</v>
      </c>
      <c r="I44">
        <v>10</v>
      </c>
      <c r="J44">
        <v>5</v>
      </c>
      <c r="L44" t="s">
        <v>16</v>
      </c>
      <c r="O44">
        <v>317</v>
      </c>
    </row>
    <row r="45" spans="1:15" x14ac:dyDescent="0.45">
      <c r="A45">
        <v>382</v>
      </c>
      <c r="B45" t="s">
        <v>18</v>
      </c>
      <c r="C45" s="1">
        <v>44046.409722222219</v>
      </c>
      <c r="D45">
        <v>53</v>
      </c>
      <c r="E45" t="s">
        <v>13</v>
      </c>
      <c r="F45">
        <v>12</v>
      </c>
      <c r="G45" t="s">
        <v>14</v>
      </c>
      <c r="H45">
        <v>75</v>
      </c>
      <c r="I45">
        <v>50</v>
      </c>
      <c r="J45">
        <v>6</v>
      </c>
      <c r="K45" t="s">
        <v>23</v>
      </c>
      <c r="L45" t="s">
        <v>19</v>
      </c>
      <c r="O45">
        <v>382</v>
      </c>
    </row>
    <row r="46" spans="1:15" x14ac:dyDescent="0.45">
      <c r="A46">
        <v>370</v>
      </c>
      <c r="B46" t="s">
        <v>18</v>
      </c>
      <c r="C46" s="1">
        <v>44227.367361111108</v>
      </c>
      <c r="D46">
        <v>26</v>
      </c>
      <c r="E46" t="s">
        <v>13</v>
      </c>
      <c r="F46">
        <v>12</v>
      </c>
      <c r="G46" t="s">
        <v>17</v>
      </c>
      <c r="H46">
        <v>37</v>
      </c>
      <c r="I46">
        <v>16.7</v>
      </c>
      <c r="J46">
        <v>6</v>
      </c>
      <c r="K46" t="s">
        <v>15</v>
      </c>
      <c r="L46" t="s">
        <v>19</v>
      </c>
      <c r="O46">
        <v>370</v>
      </c>
    </row>
    <row r="47" spans="1:15" x14ac:dyDescent="0.45">
      <c r="A47">
        <v>99</v>
      </c>
      <c r="B47" t="s">
        <v>21</v>
      </c>
      <c r="C47" s="1">
        <v>44209.361111111109</v>
      </c>
      <c r="D47">
        <v>36</v>
      </c>
      <c r="E47" t="s">
        <v>13</v>
      </c>
      <c r="F47">
        <v>12</v>
      </c>
      <c r="G47" t="s">
        <v>14</v>
      </c>
      <c r="H47">
        <v>51</v>
      </c>
      <c r="I47">
        <v>25</v>
      </c>
      <c r="J47">
        <v>4</v>
      </c>
      <c r="K47" t="s">
        <v>15</v>
      </c>
      <c r="L47" t="s">
        <v>16</v>
      </c>
      <c r="O47">
        <v>99</v>
      </c>
    </row>
    <row r="48" spans="1:15" x14ac:dyDescent="0.45">
      <c r="A48">
        <v>292</v>
      </c>
      <c r="B48" t="s">
        <v>21</v>
      </c>
      <c r="C48" s="1">
        <v>44125.379861111112</v>
      </c>
      <c r="D48">
        <v>68</v>
      </c>
      <c r="E48" t="s">
        <v>13</v>
      </c>
      <c r="F48">
        <v>12</v>
      </c>
      <c r="G48" t="s">
        <v>20</v>
      </c>
      <c r="H48">
        <v>60.2</v>
      </c>
      <c r="I48">
        <v>42.3</v>
      </c>
      <c r="J48">
        <v>6</v>
      </c>
      <c r="K48" t="s">
        <v>15</v>
      </c>
      <c r="L48" t="s">
        <v>16</v>
      </c>
      <c r="O48">
        <v>292</v>
      </c>
    </row>
    <row r="49" spans="1:15" x14ac:dyDescent="0.45">
      <c r="A49">
        <v>432</v>
      </c>
      <c r="B49" t="s">
        <v>12</v>
      </c>
      <c r="C49" s="1">
        <v>44157.369444444441</v>
      </c>
      <c r="D49">
        <v>36</v>
      </c>
      <c r="E49" t="s">
        <v>13</v>
      </c>
      <c r="F49">
        <v>12</v>
      </c>
      <c r="G49" t="s">
        <v>14</v>
      </c>
      <c r="H49">
        <v>32</v>
      </c>
      <c r="I49">
        <v>18</v>
      </c>
      <c r="J49">
        <v>6</v>
      </c>
      <c r="L49" t="s">
        <v>16</v>
      </c>
      <c r="O49">
        <v>432</v>
      </c>
    </row>
    <row r="50" spans="1:15" x14ac:dyDescent="0.45">
      <c r="A50">
        <v>372</v>
      </c>
      <c r="B50" t="s">
        <v>21</v>
      </c>
      <c r="C50" s="1">
        <v>43946.372916666667</v>
      </c>
      <c r="D50">
        <v>40</v>
      </c>
      <c r="E50" t="s">
        <v>13</v>
      </c>
      <c r="F50">
        <v>12</v>
      </c>
      <c r="G50" t="s">
        <v>17</v>
      </c>
      <c r="H50">
        <v>80</v>
      </c>
      <c r="I50">
        <v>46.8</v>
      </c>
      <c r="J50">
        <v>4</v>
      </c>
      <c r="K50" t="s">
        <v>15</v>
      </c>
      <c r="L50" t="s">
        <v>16</v>
      </c>
      <c r="O50">
        <v>372</v>
      </c>
    </row>
    <row r="51" spans="1:15" x14ac:dyDescent="0.45">
      <c r="A51">
        <v>58</v>
      </c>
      <c r="B51" t="s">
        <v>18</v>
      </c>
      <c r="C51" s="1">
        <v>44206.722222222219</v>
      </c>
      <c r="D51">
        <v>27</v>
      </c>
      <c r="E51" t="s">
        <v>13</v>
      </c>
      <c r="F51">
        <v>12</v>
      </c>
      <c r="G51" t="s">
        <v>14</v>
      </c>
      <c r="H51">
        <v>70</v>
      </c>
      <c r="I51">
        <v>20</v>
      </c>
      <c r="J51">
        <v>3</v>
      </c>
      <c r="L51" t="s">
        <v>19</v>
      </c>
      <c r="O51">
        <v>58</v>
      </c>
    </row>
    <row r="52" spans="1:15" x14ac:dyDescent="0.45">
      <c r="A52">
        <v>413</v>
      </c>
      <c r="B52" t="s">
        <v>21</v>
      </c>
      <c r="C52" s="1">
        <v>43999.453472222223</v>
      </c>
      <c r="D52">
        <v>82</v>
      </c>
      <c r="E52" t="s">
        <v>13</v>
      </c>
      <c r="F52">
        <v>1</v>
      </c>
      <c r="G52" t="s">
        <v>20</v>
      </c>
      <c r="H52">
        <v>20.6</v>
      </c>
      <c r="I52">
        <v>13.5</v>
      </c>
      <c r="J52">
        <v>3</v>
      </c>
      <c r="K52" t="s">
        <v>15</v>
      </c>
      <c r="L52" t="s">
        <v>16</v>
      </c>
      <c r="O52">
        <v>413</v>
      </c>
    </row>
    <row r="53" spans="1:15" x14ac:dyDescent="0.45">
      <c r="A53">
        <v>98</v>
      </c>
      <c r="B53" t="s">
        <v>18</v>
      </c>
      <c r="C53" s="1">
        <v>44124.543749999997</v>
      </c>
      <c r="D53">
        <v>60</v>
      </c>
      <c r="E53" t="s">
        <v>13</v>
      </c>
      <c r="F53">
        <v>1</v>
      </c>
      <c r="G53" t="s">
        <v>14</v>
      </c>
      <c r="H53">
        <v>18</v>
      </c>
      <c r="I53">
        <v>8</v>
      </c>
      <c r="J53">
        <v>6</v>
      </c>
      <c r="K53" t="s">
        <v>24</v>
      </c>
      <c r="L53" t="s">
        <v>19</v>
      </c>
      <c r="O53">
        <v>98</v>
      </c>
    </row>
    <row r="54" spans="1:15" x14ac:dyDescent="0.45">
      <c r="A54">
        <v>347</v>
      </c>
      <c r="B54" t="s">
        <v>21</v>
      </c>
      <c r="C54" s="1">
        <v>43930.445833333331</v>
      </c>
      <c r="D54">
        <v>53</v>
      </c>
      <c r="E54" t="s">
        <v>13</v>
      </c>
      <c r="F54">
        <v>1</v>
      </c>
      <c r="G54" t="s">
        <v>17</v>
      </c>
      <c r="H54">
        <v>55.1</v>
      </c>
      <c r="I54">
        <v>25.5</v>
      </c>
      <c r="J54">
        <v>4</v>
      </c>
      <c r="K54" t="s">
        <v>15</v>
      </c>
      <c r="L54" t="s">
        <v>16</v>
      </c>
      <c r="O54">
        <v>347</v>
      </c>
    </row>
    <row r="55" spans="1:15" x14ac:dyDescent="0.45">
      <c r="A55">
        <v>183</v>
      </c>
      <c r="B55" t="s">
        <v>12</v>
      </c>
      <c r="C55" s="1">
        <v>44182.565972222219</v>
      </c>
      <c r="D55">
        <v>63</v>
      </c>
      <c r="E55" t="s">
        <v>13</v>
      </c>
      <c r="F55">
        <v>1</v>
      </c>
      <c r="G55" t="s">
        <v>14</v>
      </c>
      <c r="H55">
        <v>29</v>
      </c>
      <c r="I55">
        <v>13</v>
      </c>
      <c r="J55">
        <v>4</v>
      </c>
      <c r="K55" t="s">
        <v>15</v>
      </c>
      <c r="L55" t="s">
        <v>16</v>
      </c>
      <c r="O55">
        <v>183</v>
      </c>
    </row>
    <row r="56" spans="1:15" x14ac:dyDescent="0.45">
      <c r="A56">
        <v>321</v>
      </c>
      <c r="B56" t="s">
        <v>12</v>
      </c>
      <c r="C56" s="1">
        <v>43932.464583333334</v>
      </c>
      <c r="D56">
        <v>16</v>
      </c>
      <c r="E56" t="s">
        <v>13</v>
      </c>
      <c r="F56">
        <v>1</v>
      </c>
      <c r="G56" t="s">
        <v>17</v>
      </c>
      <c r="H56">
        <v>39.200000000000003</v>
      </c>
      <c r="I56">
        <v>20.9</v>
      </c>
      <c r="J56">
        <v>3</v>
      </c>
      <c r="K56" t="s">
        <v>15</v>
      </c>
      <c r="L56" t="s">
        <v>16</v>
      </c>
      <c r="O56">
        <v>321</v>
      </c>
    </row>
    <row r="57" spans="1:15" x14ac:dyDescent="0.45">
      <c r="A57">
        <v>249</v>
      </c>
      <c r="B57" t="s">
        <v>12</v>
      </c>
      <c r="C57" s="1">
        <v>43944.598611111112</v>
      </c>
      <c r="D57">
        <v>58</v>
      </c>
      <c r="E57" t="s">
        <v>13</v>
      </c>
      <c r="F57">
        <v>1</v>
      </c>
      <c r="G57" t="s">
        <v>20</v>
      </c>
      <c r="H57">
        <v>49</v>
      </c>
      <c r="I57">
        <v>24.6</v>
      </c>
      <c r="J57">
        <v>5</v>
      </c>
      <c r="K57" t="s">
        <v>15</v>
      </c>
      <c r="L57" t="s">
        <v>16</v>
      </c>
      <c r="O57">
        <v>249</v>
      </c>
    </row>
    <row r="58" spans="1:15" x14ac:dyDescent="0.45">
      <c r="A58">
        <v>445</v>
      </c>
      <c r="B58" t="s">
        <v>12</v>
      </c>
      <c r="C58" s="1">
        <v>44030.410416666666</v>
      </c>
      <c r="D58">
        <v>14</v>
      </c>
      <c r="E58" t="s">
        <v>13</v>
      </c>
      <c r="F58">
        <v>1</v>
      </c>
      <c r="G58" t="s">
        <v>14</v>
      </c>
      <c r="H58">
        <v>185</v>
      </c>
      <c r="I58">
        <v>65</v>
      </c>
      <c r="J58">
        <v>5</v>
      </c>
      <c r="K58" t="s">
        <v>15</v>
      </c>
      <c r="L58" t="s">
        <v>16</v>
      </c>
      <c r="O58">
        <v>445</v>
      </c>
    </row>
    <row r="59" spans="1:15" x14ac:dyDescent="0.45">
      <c r="A59">
        <v>416</v>
      </c>
      <c r="B59" t="s">
        <v>18</v>
      </c>
      <c r="C59" s="1">
        <v>44120.488194444442</v>
      </c>
      <c r="D59">
        <v>32</v>
      </c>
      <c r="E59" t="s">
        <v>13</v>
      </c>
      <c r="F59">
        <v>1</v>
      </c>
      <c r="G59" t="s">
        <v>20</v>
      </c>
      <c r="H59">
        <v>69.3</v>
      </c>
      <c r="I59">
        <v>31.5</v>
      </c>
      <c r="J59">
        <v>5</v>
      </c>
      <c r="K59" t="s">
        <v>23</v>
      </c>
      <c r="L59" t="s">
        <v>19</v>
      </c>
      <c r="O59">
        <v>416</v>
      </c>
    </row>
    <row r="60" spans="1:15" x14ac:dyDescent="0.45">
      <c r="A60">
        <v>458</v>
      </c>
      <c r="B60" t="s">
        <v>18</v>
      </c>
      <c r="C60" s="1">
        <v>44131.353472222225</v>
      </c>
      <c r="D60">
        <v>16</v>
      </c>
      <c r="E60" t="s">
        <v>13</v>
      </c>
      <c r="F60">
        <v>1</v>
      </c>
      <c r="G60" t="s">
        <v>14</v>
      </c>
      <c r="H60">
        <v>52</v>
      </c>
      <c r="I60">
        <v>18</v>
      </c>
      <c r="J60">
        <v>5</v>
      </c>
      <c r="K60" t="s">
        <v>15</v>
      </c>
      <c r="L60" t="s">
        <v>19</v>
      </c>
      <c r="O60">
        <v>458</v>
      </c>
    </row>
    <row r="61" spans="1:15" x14ac:dyDescent="0.45">
      <c r="A61">
        <v>377</v>
      </c>
      <c r="B61" t="s">
        <v>12</v>
      </c>
      <c r="C61" s="1">
        <v>44172.464583333334</v>
      </c>
      <c r="D61">
        <v>6</v>
      </c>
      <c r="E61" t="s">
        <v>13</v>
      </c>
      <c r="F61">
        <v>1</v>
      </c>
      <c r="G61" t="s">
        <v>17</v>
      </c>
      <c r="H61">
        <v>15</v>
      </c>
      <c r="I61">
        <v>8</v>
      </c>
      <c r="J61">
        <v>7</v>
      </c>
      <c r="K61" t="s">
        <v>15</v>
      </c>
      <c r="L61" t="s">
        <v>16</v>
      </c>
      <c r="O61">
        <v>377</v>
      </c>
    </row>
    <row r="62" spans="1:15" x14ac:dyDescent="0.45">
      <c r="A62">
        <v>309</v>
      </c>
      <c r="B62" t="s">
        <v>12</v>
      </c>
      <c r="C62" s="1">
        <v>44297.56527777778</v>
      </c>
      <c r="D62">
        <v>11</v>
      </c>
      <c r="E62" t="s">
        <v>13</v>
      </c>
      <c r="F62">
        <v>1</v>
      </c>
      <c r="G62" t="s">
        <v>17</v>
      </c>
      <c r="H62">
        <v>54</v>
      </c>
      <c r="I62">
        <v>20.3</v>
      </c>
      <c r="J62">
        <v>5</v>
      </c>
      <c r="K62" t="s">
        <v>15</v>
      </c>
      <c r="L62" t="s">
        <v>16</v>
      </c>
      <c r="O62">
        <v>309</v>
      </c>
    </row>
    <row r="63" spans="1:15" x14ac:dyDescent="0.45">
      <c r="A63">
        <v>447</v>
      </c>
      <c r="B63" t="s">
        <v>12</v>
      </c>
      <c r="C63" s="1">
        <v>44033.44027777778</v>
      </c>
      <c r="D63">
        <v>7</v>
      </c>
      <c r="E63" t="s">
        <v>13</v>
      </c>
      <c r="F63">
        <v>1</v>
      </c>
      <c r="G63" t="s">
        <v>17</v>
      </c>
      <c r="H63">
        <v>24.7</v>
      </c>
      <c r="I63">
        <v>12</v>
      </c>
      <c r="J63">
        <v>5</v>
      </c>
      <c r="K63" t="s">
        <v>15</v>
      </c>
      <c r="L63" t="s">
        <v>16</v>
      </c>
      <c r="O63">
        <v>447</v>
      </c>
    </row>
    <row r="64" spans="1:15" x14ac:dyDescent="0.45">
      <c r="A64">
        <v>194</v>
      </c>
      <c r="B64" t="s">
        <v>12</v>
      </c>
      <c r="C64" s="1">
        <v>44078.467361111114</v>
      </c>
      <c r="D64">
        <v>48</v>
      </c>
      <c r="E64" t="s">
        <v>13</v>
      </c>
      <c r="F64">
        <v>1</v>
      </c>
      <c r="G64" t="s">
        <v>14</v>
      </c>
      <c r="H64">
        <v>54</v>
      </c>
      <c r="I64">
        <v>38</v>
      </c>
      <c r="J64">
        <v>4</v>
      </c>
      <c r="K64" t="s">
        <v>15</v>
      </c>
      <c r="L64" t="s">
        <v>16</v>
      </c>
      <c r="O64">
        <v>194</v>
      </c>
    </row>
    <row r="65" spans="1:15" x14ac:dyDescent="0.45">
      <c r="A65">
        <v>156</v>
      </c>
      <c r="B65" t="s">
        <v>21</v>
      </c>
      <c r="C65" s="1">
        <v>44215.580555555556</v>
      </c>
      <c r="D65">
        <v>44</v>
      </c>
      <c r="E65" t="s">
        <v>13</v>
      </c>
      <c r="F65">
        <v>1</v>
      </c>
      <c r="G65" t="s">
        <v>14</v>
      </c>
      <c r="H65">
        <v>54</v>
      </c>
      <c r="I65">
        <v>24</v>
      </c>
      <c r="J65">
        <v>3</v>
      </c>
      <c r="K65" t="s">
        <v>15</v>
      </c>
      <c r="L65" t="s">
        <v>16</v>
      </c>
      <c r="O65">
        <v>156</v>
      </c>
    </row>
    <row r="66" spans="1:15" x14ac:dyDescent="0.45">
      <c r="A66">
        <v>100</v>
      </c>
      <c r="B66" t="s">
        <v>21</v>
      </c>
      <c r="C66" s="1">
        <v>44192.350694444445</v>
      </c>
      <c r="D66">
        <v>46</v>
      </c>
      <c r="E66" t="s">
        <v>13</v>
      </c>
      <c r="F66">
        <v>1</v>
      </c>
      <c r="G66" t="s">
        <v>14</v>
      </c>
      <c r="H66">
        <v>90</v>
      </c>
      <c r="I66">
        <v>45</v>
      </c>
      <c r="J66">
        <v>3</v>
      </c>
      <c r="L66" t="s">
        <v>16</v>
      </c>
      <c r="O66">
        <v>100</v>
      </c>
    </row>
    <row r="67" spans="1:15" x14ac:dyDescent="0.45">
      <c r="A67">
        <v>380</v>
      </c>
      <c r="B67" t="s">
        <v>18</v>
      </c>
      <c r="C67" s="1">
        <v>44126.445833333331</v>
      </c>
      <c r="D67">
        <v>38</v>
      </c>
      <c r="E67" t="s">
        <v>13</v>
      </c>
      <c r="F67">
        <v>1</v>
      </c>
      <c r="G67" t="s">
        <v>20</v>
      </c>
      <c r="H67">
        <v>94.3</v>
      </c>
      <c r="I67">
        <v>64.7</v>
      </c>
      <c r="J67">
        <v>4</v>
      </c>
      <c r="K67" t="s">
        <v>15</v>
      </c>
      <c r="L67" t="s">
        <v>19</v>
      </c>
      <c r="O67">
        <v>380</v>
      </c>
    </row>
    <row r="68" spans="1:15" x14ac:dyDescent="0.45">
      <c r="A68">
        <v>116</v>
      </c>
      <c r="B68" t="s">
        <v>12</v>
      </c>
      <c r="C68" s="1">
        <v>44225.430555555555</v>
      </c>
      <c r="D68">
        <v>56</v>
      </c>
      <c r="E68" t="s">
        <v>13</v>
      </c>
      <c r="F68">
        <v>1</v>
      </c>
      <c r="G68" t="s">
        <v>20</v>
      </c>
      <c r="H68">
        <v>40.6</v>
      </c>
      <c r="I68">
        <v>25.9</v>
      </c>
      <c r="J68">
        <v>6</v>
      </c>
      <c r="K68" t="s">
        <v>15</v>
      </c>
      <c r="L68" t="s">
        <v>16</v>
      </c>
      <c r="O68">
        <v>116</v>
      </c>
    </row>
    <row r="69" spans="1:15" x14ac:dyDescent="0.45">
      <c r="A69">
        <v>516</v>
      </c>
      <c r="B69" t="s">
        <v>12</v>
      </c>
      <c r="C69" s="1">
        <v>44092.408333333333</v>
      </c>
      <c r="D69">
        <v>33</v>
      </c>
      <c r="E69" t="s">
        <v>13</v>
      </c>
      <c r="F69">
        <v>1</v>
      </c>
      <c r="G69" t="s">
        <v>17</v>
      </c>
      <c r="H69">
        <v>47.4</v>
      </c>
      <c r="I69">
        <v>29.7</v>
      </c>
      <c r="J69">
        <v>4</v>
      </c>
      <c r="K69" t="s">
        <v>15</v>
      </c>
      <c r="L69" t="s">
        <v>16</v>
      </c>
      <c r="O69">
        <v>516</v>
      </c>
    </row>
    <row r="70" spans="1:15" x14ac:dyDescent="0.45">
      <c r="A70">
        <v>177</v>
      </c>
      <c r="B70" t="s">
        <v>21</v>
      </c>
      <c r="C70" s="1">
        <v>43935.591666666667</v>
      </c>
      <c r="D70">
        <v>40</v>
      </c>
      <c r="E70" t="s">
        <v>13</v>
      </c>
      <c r="F70">
        <v>1</v>
      </c>
      <c r="G70" t="s">
        <v>14</v>
      </c>
      <c r="H70">
        <v>65</v>
      </c>
      <c r="I70">
        <v>40</v>
      </c>
      <c r="J70">
        <v>4</v>
      </c>
      <c r="K70" t="s">
        <v>15</v>
      </c>
      <c r="L70" t="s">
        <v>16</v>
      </c>
      <c r="O70">
        <v>177</v>
      </c>
    </row>
    <row r="71" spans="1:15" x14ac:dyDescent="0.45">
      <c r="A71">
        <v>315</v>
      </c>
      <c r="B71" t="s">
        <v>12</v>
      </c>
      <c r="C71" s="1">
        <v>44046.411111111112</v>
      </c>
      <c r="D71">
        <v>10</v>
      </c>
      <c r="E71" t="s">
        <v>13</v>
      </c>
      <c r="F71">
        <v>1</v>
      </c>
      <c r="G71" t="s">
        <v>14</v>
      </c>
      <c r="H71">
        <v>86</v>
      </c>
      <c r="I71">
        <v>46</v>
      </c>
      <c r="J71">
        <v>5</v>
      </c>
      <c r="K71" t="s">
        <v>15</v>
      </c>
      <c r="L71" t="s">
        <v>16</v>
      </c>
      <c r="O71">
        <v>315</v>
      </c>
    </row>
    <row r="72" spans="1:15" x14ac:dyDescent="0.45">
      <c r="A72">
        <v>441</v>
      </c>
      <c r="B72" t="s">
        <v>12</v>
      </c>
      <c r="C72" s="1">
        <v>44201.412499999999</v>
      </c>
      <c r="D72">
        <v>35</v>
      </c>
      <c r="E72" t="s">
        <v>13</v>
      </c>
      <c r="F72">
        <v>1</v>
      </c>
      <c r="G72" t="s">
        <v>20</v>
      </c>
      <c r="H72">
        <v>73.900000000000006</v>
      </c>
      <c r="I72">
        <v>31.5</v>
      </c>
      <c r="J72">
        <v>6</v>
      </c>
      <c r="K72" t="s">
        <v>15</v>
      </c>
      <c r="L72" t="s">
        <v>16</v>
      </c>
      <c r="O72">
        <v>441</v>
      </c>
    </row>
    <row r="73" spans="1:15" x14ac:dyDescent="0.45">
      <c r="A73">
        <v>350</v>
      </c>
      <c r="B73" t="s">
        <v>12</v>
      </c>
      <c r="C73" s="1">
        <v>44145.570138888892</v>
      </c>
      <c r="D73">
        <v>18</v>
      </c>
      <c r="E73" t="s">
        <v>13</v>
      </c>
      <c r="F73">
        <v>1</v>
      </c>
      <c r="G73" t="s">
        <v>14</v>
      </c>
      <c r="H73">
        <v>52</v>
      </c>
      <c r="I73">
        <v>27</v>
      </c>
      <c r="J73">
        <v>2</v>
      </c>
      <c r="K73" t="s">
        <v>15</v>
      </c>
      <c r="L73" t="s">
        <v>16</v>
      </c>
      <c r="O73">
        <v>350</v>
      </c>
    </row>
    <row r="74" spans="1:15" x14ac:dyDescent="0.45">
      <c r="A74">
        <v>302</v>
      </c>
      <c r="B74" t="s">
        <v>12</v>
      </c>
      <c r="C74" s="1">
        <v>43999.405555555553</v>
      </c>
      <c r="D74">
        <v>18</v>
      </c>
      <c r="E74" t="s">
        <v>13</v>
      </c>
      <c r="F74">
        <v>1</v>
      </c>
      <c r="G74" t="s">
        <v>20</v>
      </c>
      <c r="H74">
        <v>48.7</v>
      </c>
      <c r="I74">
        <v>10.6</v>
      </c>
      <c r="J74">
        <v>3</v>
      </c>
      <c r="L74" t="s">
        <v>16</v>
      </c>
      <c r="O74">
        <v>302</v>
      </c>
    </row>
    <row r="75" spans="1:15" x14ac:dyDescent="0.45">
      <c r="A75">
        <v>366</v>
      </c>
      <c r="B75" t="s">
        <v>12</v>
      </c>
      <c r="C75" s="1">
        <v>44080.37222222222</v>
      </c>
      <c r="D75">
        <v>39</v>
      </c>
      <c r="E75" t="s">
        <v>13</v>
      </c>
      <c r="F75">
        <v>1</v>
      </c>
      <c r="G75" t="s">
        <v>14</v>
      </c>
      <c r="H75">
        <v>170</v>
      </c>
      <c r="I75">
        <v>80</v>
      </c>
      <c r="J75">
        <v>2</v>
      </c>
      <c r="L75" t="s">
        <v>16</v>
      </c>
      <c r="O75">
        <v>366</v>
      </c>
    </row>
    <row r="76" spans="1:15" x14ac:dyDescent="0.45">
      <c r="A76">
        <v>150</v>
      </c>
      <c r="B76" t="s">
        <v>18</v>
      </c>
      <c r="C76" s="1">
        <v>44088.447222222225</v>
      </c>
      <c r="D76">
        <v>67</v>
      </c>
      <c r="E76" t="s">
        <v>13</v>
      </c>
      <c r="F76">
        <v>1</v>
      </c>
      <c r="G76" t="s">
        <v>14</v>
      </c>
      <c r="H76">
        <v>23</v>
      </c>
      <c r="I76">
        <v>10</v>
      </c>
      <c r="J76">
        <v>6</v>
      </c>
      <c r="K76" t="s">
        <v>15</v>
      </c>
      <c r="L76" t="s">
        <v>19</v>
      </c>
      <c r="O76">
        <v>150</v>
      </c>
    </row>
    <row r="77" spans="1:15" x14ac:dyDescent="0.45">
      <c r="A77">
        <v>72</v>
      </c>
      <c r="B77" t="s">
        <v>12</v>
      </c>
      <c r="C77" s="1">
        <v>43896.638194444444</v>
      </c>
      <c r="D77">
        <v>11</v>
      </c>
      <c r="E77" t="s">
        <v>13</v>
      </c>
      <c r="F77">
        <v>10</v>
      </c>
      <c r="G77" t="s">
        <v>17</v>
      </c>
      <c r="H77">
        <v>51</v>
      </c>
      <c r="I77">
        <v>27</v>
      </c>
      <c r="J77">
        <v>4</v>
      </c>
      <c r="K77" t="s">
        <v>15</v>
      </c>
      <c r="L77" t="s">
        <v>16</v>
      </c>
      <c r="O77">
        <v>72</v>
      </c>
    </row>
    <row r="78" spans="1:15" x14ac:dyDescent="0.45">
      <c r="A78">
        <v>540</v>
      </c>
      <c r="B78" t="s">
        <v>18</v>
      </c>
      <c r="C78" s="1">
        <v>44124.705555555556</v>
      </c>
      <c r="D78">
        <v>14</v>
      </c>
      <c r="E78" t="s">
        <v>13</v>
      </c>
      <c r="F78">
        <v>10</v>
      </c>
      <c r="G78" t="s">
        <v>14</v>
      </c>
      <c r="H78">
        <v>87</v>
      </c>
      <c r="I78">
        <v>36</v>
      </c>
      <c r="J78">
        <v>7</v>
      </c>
      <c r="K78" t="s">
        <v>15</v>
      </c>
      <c r="L78" t="s">
        <v>19</v>
      </c>
      <c r="O78">
        <v>540</v>
      </c>
    </row>
    <row r="79" spans="1:15" x14ac:dyDescent="0.45">
      <c r="A79">
        <v>481</v>
      </c>
      <c r="B79" t="s">
        <v>18</v>
      </c>
      <c r="C79" s="1">
        <v>44020.506944444445</v>
      </c>
      <c r="D79">
        <v>14</v>
      </c>
      <c r="E79" t="s">
        <v>13</v>
      </c>
      <c r="F79">
        <v>10</v>
      </c>
      <c r="G79" t="s">
        <v>14</v>
      </c>
      <c r="H79">
        <v>18</v>
      </c>
      <c r="I79">
        <v>11</v>
      </c>
      <c r="J79">
        <v>3</v>
      </c>
      <c r="K79" t="s">
        <v>15</v>
      </c>
      <c r="L79" t="s">
        <v>19</v>
      </c>
      <c r="O79">
        <v>481</v>
      </c>
    </row>
    <row r="80" spans="1:15" x14ac:dyDescent="0.45">
      <c r="A80">
        <v>541</v>
      </c>
      <c r="B80" t="s">
        <v>12</v>
      </c>
      <c r="C80" s="1">
        <v>44199.711111111108</v>
      </c>
      <c r="D80">
        <v>11</v>
      </c>
      <c r="E80" t="s">
        <v>13</v>
      </c>
      <c r="F80">
        <v>10</v>
      </c>
      <c r="G80" t="s">
        <v>17</v>
      </c>
      <c r="H80">
        <v>52</v>
      </c>
      <c r="I80">
        <v>27</v>
      </c>
      <c r="J80">
        <v>5</v>
      </c>
      <c r="K80" t="s">
        <v>15</v>
      </c>
      <c r="L80" t="s">
        <v>16</v>
      </c>
      <c r="O80">
        <v>541</v>
      </c>
    </row>
    <row r="81" spans="1:15" x14ac:dyDescent="0.45">
      <c r="A81">
        <v>332</v>
      </c>
      <c r="B81" t="s">
        <v>12</v>
      </c>
      <c r="C81" s="1">
        <v>43983.520833333336</v>
      </c>
      <c r="D81">
        <v>9</v>
      </c>
      <c r="E81" t="s">
        <v>13</v>
      </c>
      <c r="F81">
        <v>10</v>
      </c>
      <c r="G81" t="s">
        <v>17</v>
      </c>
      <c r="H81">
        <v>18.899999999999999</v>
      </c>
      <c r="I81">
        <v>7</v>
      </c>
      <c r="J81">
        <v>4</v>
      </c>
      <c r="K81" t="s">
        <v>15</v>
      </c>
      <c r="L81" t="s">
        <v>16</v>
      </c>
      <c r="O81">
        <v>332</v>
      </c>
    </row>
    <row r="82" spans="1:15" x14ac:dyDescent="0.45">
      <c r="A82">
        <v>131</v>
      </c>
      <c r="B82" t="s">
        <v>12</v>
      </c>
      <c r="C82" s="1">
        <v>44211.518055555556</v>
      </c>
      <c r="D82">
        <v>11</v>
      </c>
      <c r="E82" t="s">
        <v>13</v>
      </c>
      <c r="F82">
        <v>10</v>
      </c>
      <c r="G82" t="s">
        <v>17</v>
      </c>
      <c r="H82">
        <v>21.4</v>
      </c>
      <c r="I82">
        <v>6.3</v>
      </c>
      <c r="J82">
        <v>5</v>
      </c>
      <c r="K82" t="s">
        <v>15</v>
      </c>
      <c r="L82" t="s">
        <v>16</v>
      </c>
      <c r="O82">
        <v>131</v>
      </c>
    </row>
    <row r="83" spans="1:15" x14ac:dyDescent="0.45">
      <c r="A83">
        <v>202</v>
      </c>
      <c r="B83" t="s">
        <v>12</v>
      </c>
      <c r="C83" s="1">
        <v>44115.701388888891</v>
      </c>
      <c r="D83">
        <v>12</v>
      </c>
      <c r="E83" t="s">
        <v>13</v>
      </c>
      <c r="F83">
        <v>10</v>
      </c>
      <c r="G83" t="s">
        <v>14</v>
      </c>
      <c r="H83">
        <v>72</v>
      </c>
      <c r="I83">
        <v>22</v>
      </c>
      <c r="J83">
        <v>4</v>
      </c>
      <c r="K83" t="s">
        <v>15</v>
      </c>
      <c r="L83" t="s">
        <v>16</v>
      </c>
      <c r="O83">
        <v>202</v>
      </c>
    </row>
    <row r="84" spans="1:15" x14ac:dyDescent="0.45">
      <c r="A84">
        <v>365</v>
      </c>
      <c r="B84" t="s">
        <v>12</v>
      </c>
      <c r="C84" s="1">
        <v>44188.557638888888</v>
      </c>
      <c r="D84">
        <v>13</v>
      </c>
      <c r="E84" t="s">
        <v>13</v>
      </c>
      <c r="F84">
        <v>10</v>
      </c>
      <c r="G84" t="s">
        <v>14</v>
      </c>
      <c r="H84">
        <v>55</v>
      </c>
      <c r="I84">
        <v>16</v>
      </c>
      <c r="J84">
        <v>3</v>
      </c>
      <c r="K84" t="s">
        <v>15</v>
      </c>
      <c r="L84" t="s">
        <v>16</v>
      </c>
      <c r="O84">
        <v>365</v>
      </c>
    </row>
    <row r="85" spans="1:15" x14ac:dyDescent="0.45">
      <c r="A85">
        <v>103</v>
      </c>
      <c r="B85" t="s">
        <v>12</v>
      </c>
      <c r="C85" s="1">
        <v>44204.708333333336</v>
      </c>
      <c r="D85">
        <v>8</v>
      </c>
      <c r="E85" t="s">
        <v>13</v>
      </c>
      <c r="F85">
        <v>10</v>
      </c>
      <c r="G85" t="s">
        <v>17</v>
      </c>
      <c r="H85">
        <v>26.6</v>
      </c>
      <c r="I85">
        <v>14.6</v>
      </c>
      <c r="J85">
        <v>7</v>
      </c>
      <c r="K85" t="s">
        <v>15</v>
      </c>
      <c r="L85" t="s">
        <v>16</v>
      </c>
      <c r="O85">
        <v>103</v>
      </c>
    </row>
    <row r="86" spans="1:15" x14ac:dyDescent="0.45">
      <c r="A86">
        <v>312</v>
      </c>
      <c r="B86" t="s">
        <v>12</v>
      </c>
      <c r="C86" s="1">
        <v>44222.49722222222</v>
      </c>
      <c r="D86">
        <v>61</v>
      </c>
      <c r="E86" t="s">
        <v>13</v>
      </c>
      <c r="F86">
        <v>15</v>
      </c>
      <c r="G86" t="s">
        <v>14</v>
      </c>
      <c r="H86">
        <v>28</v>
      </c>
      <c r="I86">
        <v>15</v>
      </c>
      <c r="J86">
        <v>5</v>
      </c>
      <c r="K86" t="s">
        <v>15</v>
      </c>
      <c r="L86" t="s">
        <v>16</v>
      </c>
      <c r="O86">
        <v>312</v>
      </c>
    </row>
    <row r="87" spans="1:15" x14ac:dyDescent="0.45">
      <c r="A87">
        <v>581</v>
      </c>
      <c r="B87" t="s">
        <v>12</v>
      </c>
      <c r="C87" s="1">
        <v>44201.438194444447</v>
      </c>
      <c r="D87">
        <v>49</v>
      </c>
      <c r="E87" t="s">
        <v>13</v>
      </c>
      <c r="F87">
        <v>15</v>
      </c>
      <c r="G87" t="s">
        <v>14</v>
      </c>
      <c r="H87">
        <v>100</v>
      </c>
      <c r="I87">
        <v>34</v>
      </c>
      <c r="J87">
        <v>4</v>
      </c>
      <c r="L87" t="s">
        <v>16</v>
      </c>
      <c r="O87">
        <v>581</v>
      </c>
    </row>
    <row r="88" spans="1:15" x14ac:dyDescent="0.45">
      <c r="A88">
        <v>207</v>
      </c>
      <c r="B88" t="s">
        <v>21</v>
      </c>
      <c r="C88" s="1">
        <v>44250.605555555558</v>
      </c>
      <c r="D88">
        <v>65</v>
      </c>
      <c r="E88" t="s">
        <v>13</v>
      </c>
      <c r="F88">
        <v>15</v>
      </c>
      <c r="G88" t="s">
        <v>14</v>
      </c>
      <c r="H88">
        <v>90</v>
      </c>
      <c r="I88">
        <v>45</v>
      </c>
      <c r="J88">
        <v>3</v>
      </c>
      <c r="K88" t="s">
        <v>15</v>
      </c>
      <c r="L88" t="s">
        <v>16</v>
      </c>
      <c r="O88">
        <v>207</v>
      </c>
    </row>
    <row r="89" spans="1:15" x14ac:dyDescent="0.45">
      <c r="A89">
        <v>215</v>
      </c>
      <c r="B89" t="s">
        <v>18</v>
      </c>
      <c r="C89" s="1">
        <v>43938.446527777778</v>
      </c>
      <c r="D89">
        <v>56</v>
      </c>
      <c r="E89" t="s">
        <v>13</v>
      </c>
      <c r="F89">
        <v>15</v>
      </c>
      <c r="G89" t="s">
        <v>14</v>
      </c>
      <c r="H89">
        <v>42</v>
      </c>
      <c r="I89">
        <v>22</v>
      </c>
      <c r="J89">
        <v>4</v>
      </c>
      <c r="L89" t="s">
        <v>19</v>
      </c>
      <c r="O89">
        <v>215</v>
      </c>
    </row>
    <row r="90" spans="1:15" x14ac:dyDescent="0.45">
      <c r="A90">
        <v>550</v>
      </c>
      <c r="B90" t="s">
        <v>18</v>
      </c>
      <c r="C90" s="1">
        <v>43931.456250000003</v>
      </c>
      <c r="D90">
        <v>70</v>
      </c>
      <c r="E90" t="s">
        <v>13</v>
      </c>
      <c r="F90">
        <v>15</v>
      </c>
      <c r="G90" t="s">
        <v>20</v>
      </c>
      <c r="H90">
        <v>30</v>
      </c>
      <c r="I90">
        <v>18.3</v>
      </c>
      <c r="J90">
        <v>5</v>
      </c>
      <c r="L90" t="s">
        <v>19</v>
      </c>
      <c r="O90">
        <v>550</v>
      </c>
    </row>
    <row r="91" spans="1:15" x14ac:dyDescent="0.45">
      <c r="A91">
        <v>588</v>
      </c>
      <c r="B91" t="s">
        <v>21</v>
      </c>
      <c r="C91" s="1">
        <v>44268.456944444442</v>
      </c>
      <c r="D91">
        <v>50</v>
      </c>
      <c r="E91" t="s">
        <v>13</v>
      </c>
      <c r="F91">
        <v>15</v>
      </c>
      <c r="G91" t="s">
        <v>14</v>
      </c>
      <c r="H91">
        <v>40</v>
      </c>
      <c r="I91">
        <v>24</v>
      </c>
      <c r="J91">
        <v>2</v>
      </c>
      <c r="L91" t="s">
        <v>16</v>
      </c>
      <c r="O91">
        <v>588</v>
      </c>
    </row>
    <row r="92" spans="1:15" x14ac:dyDescent="0.45">
      <c r="A92">
        <v>76</v>
      </c>
      <c r="B92" t="s">
        <v>21</v>
      </c>
      <c r="C92" s="1">
        <v>44217.643750000003</v>
      </c>
      <c r="D92">
        <v>67</v>
      </c>
      <c r="E92" t="s">
        <v>13</v>
      </c>
      <c r="F92">
        <v>15</v>
      </c>
      <c r="G92" t="s">
        <v>14</v>
      </c>
      <c r="H92">
        <v>28</v>
      </c>
      <c r="I92">
        <v>12</v>
      </c>
      <c r="J92">
        <v>5</v>
      </c>
      <c r="K92" t="s">
        <v>15</v>
      </c>
      <c r="L92" t="s">
        <v>16</v>
      </c>
      <c r="O92">
        <v>76</v>
      </c>
    </row>
    <row r="93" spans="1:15" x14ac:dyDescent="0.45">
      <c r="A93">
        <v>63</v>
      </c>
      <c r="B93" t="s">
        <v>12</v>
      </c>
      <c r="C93" s="1">
        <v>43884.567361111112</v>
      </c>
      <c r="D93">
        <v>63</v>
      </c>
      <c r="E93" t="s">
        <v>13</v>
      </c>
      <c r="F93">
        <v>15</v>
      </c>
      <c r="G93" t="s">
        <v>20</v>
      </c>
      <c r="H93">
        <v>111</v>
      </c>
      <c r="I93">
        <v>40</v>
      </c>
      <c r="J93">
        <v>4</v>
      </c>
      <c r="K93" t="s">
        <v>22</v>
      </c>
      <c r="L93" t="s">
        <v>16</v>
      </c>
      <c r="O93">
        <v>63</v>
      </c>
    </row>
    <row r="94" spans="1:15" x14ac:dyDescent="0.45">
      <c r="A94">
        <v>555</v>
      </c>
      <c r="B94" t="s">
        <v>12</v>
      </c>
      <c r="C94" s="1">
        <v>44004.431250000001</v>
      </c>
      <c r="D94">
        <v>63</v>
      </c>
      <c r="E94" t="s">
        <v>13</v>
      </c>
      <c r="F94">
        <v>15</v>
      </c>
      <c r="G94" t="s">
        <v>20</v>
      </c>
      <c r="H94">
        <v>81.599999999999994</v>
      </c>
      <c r="I94">
        <v>33.4</v>
      </c>
      <c r="J94">
        <v>6</v>
      </c>
      <c r="K94" t="s">
        <v>15</v>
      </c>
      <c r="L94" t="s">
        <v>16</v>
      </c>
      <c r="O94">
        <v>555</v>
      </c>
    </row>
    <row r="95" spans="1:15" x14ac:dyDescent="0.45">
      <c r="A95">
        <v>48</v>
      </c>
      <c r="B95" t="s">
        <v>21</v>
      </c>
      <c r="C95" s="1">
        <v>44105.499305555553</v>
      </c>
      <c r="D95">
        <v>61</v>
      </c>
      <c r="E95" t="s">
        <v>13</v>
      </c>
      <c r="F95">
        <v>15</v>
      </c>
      <c r="G95" t="s">
        <v>20</v>
      </c>
      <c r="H95">
        <v>28</v>
      </c>
      <c r="I95">
        <v>17.5</v>
      </c>
      <c r="J95">
        <v>3</v>
      </c>
      <c r="L95" t="s">
        <v>16</v>
      </c>
      <c r="O95">
        <v>48</v>
      </c>
    </row>
    <row r="96" spans="1:15" x14ac:dyDescent="0.45">
      <c r="A96">
        <v>553</v>
      </c>
      <c r="B96" t="s">
        <v>18</v>
      </c>
      <c r="C96" s="1">
        <v>44083.54583333333</v>
      </c>
      <c r="D96">
        <v>65</v>
      </c>
      <c r="E96" t="s">
        <v>13</v>
      </c>
      <c r="F96">
        <v>15</v>
      </c>
      <c r="G96" t="s">
        <v>20</v>
      </c>
      <c r="H96">
        <v>48</v>
      </c>
      <c r="I96">
        <v>17</v>
      </c>
      <c r="J96">
        <v>6</v>
      </c>
      <c r="K96" t="s">
        <v>22</v>
      </c>
      <c r="L96" t="s">
        <v>19</v>
      </c>
      <c r="O96">
        <v>553</v>
      </c>
    </row>
    <row r="97" spans="1:15" x14ac:dyDescent="0.45">
      <c r="A97">
        <v>359</v>
      </c>
      <c r="B97" t="s">
        <v>12</v>
      </c>
      <c r="C97" s="1">
        <v>44205.479166666664</v>
      </c>
      <c r="D97">
        <v>62</v>
      </c>
      <c r="E97" t="s">
        <v>13</v>
      </c>
      <c r="F97">
        <v>15</v>
      </c>
      <c r="G97" t="s">
        <v>20</v>
      </c>
      <c r="H97">
        <v>21.8</v>
      </c>
      <c r="I97">
        <v>13.7</v>
      </c>
      <c r="J97">
        <v>4</v>
      </c>
      <c r="L97" t="s">
        <v>16</v>
      </c>
      <c r="O97">
        <v>359</v>
      </c>
    </row>
    <row r="98" spans="1:15" x14ac:dyDescent="0.45">
      <c r="A98">
        <v>8</v>
      </c>
      <c r="B98" t="s">
        <v>12</v>
      </c>
      <c r="C98" s="1">
        <v>44031.493750000001</v>
      </c>
      <c r="D98">
        <v>64</v>
      </c>
      <c r="E98" t="s">
        <v>13</v>
      </c>
      <c r="F98">
        <v>15</v>
      </c>
      <c r="G98" t="s">
        <v>14</v>
      </c>
      <c r="H98">
        <v>70</v>
      </c>
      <c r="I98">
        <v>30</v>
      </c>
      <c r="J98">
        <v>5</v>
      </c>
      <c r="K98" t="s">
        <v>15</v>
      </c>
      <c r="L98" t="s">
        <v>16</v>
      </c>
      <c r="O98">
        <v>8</v>
      </c>
    </row>
    <row r="99" spans="1:15" x14ac:dyDescent="0.45">
      <c r="A99">
        <v>392</v>
      </c>
      <c r="B99" t="s">
        <v>21</v>
      </c>
      <c r="C99" s="1">
        <v>43864.452777777777</v>
      </c>
      <c r="D99">
        <v>47</v>
      </c>
      <c r="E99" t="s">
        <v>13</v>
      </c>
      <c r="F99">
        <v>15</v>
      </c>
      <c r="G99" t="s">
        <v>14</v>
      </c>
      <c r="H99">
        <v>69</v>
      </c>
      <c r="I99">
        <v>24</v>
      </c>
      <c r="J99">
        <v>3</v>
      </c>
      <c r="K99" t="s">
        <v>15</v>
      </c>
      <c r="L99" t="s">
        <v>16</v>
      </c>
      <c r="O99">
        <v>392</v>
      </c>
    </row>
    <row r="100" spans="1:15" x14ac:dyDescent="0.45">
      <c r="A100">
        <v>65</v>
      </c>
      <c r="B100" t="s">
        <v>12</v>
      </c>
      <c r="C100" s="1">
        <v>43996.520833333336</v>
      </c>
      <c r="D100">
        <v>58</v>
      </c>
      <c r="E100" t="s">
        <v>13</v>
      </c>
      <c r="F100">
        <v>15</v>
      </c>
      <c r="G100" t="s">
        <v>14</v>
      </c>
      <c r="H100">
        <v>117</v>
      </c>
      <c r="I100">
        <v>60</v>
      </c>
      <c r="J100">
        <v>3</v>
      </c>
      <c r="L100" t="s">
        <v>16</v>
      </c>
      <c r="O100">
        <v>65</v>
      </c>
    </row>
    <row r="101" spans="1:15" x14ac:dyDescent="0.45">
      <c r="A101">
        <v>306</v>
      </c>
      <c r="B101" t="s">
        <v>21</v>
      </c>
      <c r="C101" s="1">
        <v>44147.480555555558</v>
      </c>
      <c r="D101">
        <v>56</v>
      </c>
      <c r="E101" t="s">
        <v>13</v>
      </c>
      <c r="F101">
        <v>15</v>
      </c>
      <c r="G101" t="s">
        <v>14</v>
      </c>
      <c r="H101">
        <v>63</v>
      </c>
      <c r="I101">
        <v>20</v>
      </c>
      <c r="J101">
        <v>4</v>
      </c>
      <c r="K101" t="s">
        <v>15</v>
      </c>
      <c r="L101" t="s">
        <v>16</v>
      </c>
      <c r="O101">
        <v>306</v>
      </c>
    </row>
    <row r="102" spans="1:15" x14ac:dyDescent="0.45">
      <c r="A102">
        <v>107</v>
      </c>
      <c r="B102" t="s">
        <v>12</v>
      </c>
      <c r="C102" s="1">
        <v>44160.45208333333</v>
      </c>
      <c r="D102">
        <v>13</v>
      </c>
      <c r="E102" t="s">
        <v>13</v>
      </c>
      <c r="F102">
        <v>5</v>
      </c>
      <c r="G102" t="s">
        <v>14</v>
      </c>
      <c r="H102">
        <v>100</v>
      </c>
      <c r="I102">
        <v>31</v>
      </c>
      <c r="J102">
        <v>7</v>
      </c>
      <c r="K102" t="s">
        <v>15</v>
      </c>
      <c r="L102" t="s">
        <v>16</v>
      </c>
      <c r="O102">
        <v>107</v>
      </c>
    </row>
    <row r="103" spans="1:15" x14ac:dyDescent="0.45">
      <c r="A103">
        <v>214</v>
      </c>
      <c r="B103" t="s">
        <v>12</v>
      </c>
      <c r="C103" s="1">
        <v>44164.533333333333</v>
      </c>
      <c r="D103">
        <v>15</v>
      </c>
      <c r="E103" t="s">
        <v>13</v>
      </c>
      <c r="F103">
        <v>5</v>
      </c>
      <c r="G103" t="s">
        <v>17</v>
      </c>
      <c r="H103">
        <v>55</v>
      </c>
      <c r="I103">
        <v>28</v>
      </c>
      <c r="J103">
        <v>6</v>
      </c>
      <c r="K103" t="s">
        <v>15</v>
      </c>
      <c r="L103" t="s">
        <v>16</v>
      </c>
      <c r="O103">
        <v>214</v>
      </c>
    </row>
    <row r="104" spans="1:15" x14ac:dyDescent="0.45">
      <c r="A104">
        <v>449</v>
      </c>
      <c r="B104" t="s">
        <v>18</v>
      </c>
      <c r="C104" s="1">
        <v>44170.450694444444</v>
      </c>
      <c r="D104">
        <v>12</v>
      </c>
      <c r="E104" t="s">
        <v>13</v>
      </c>
      <c r="F104">
        <v>5</v>
      </c>
      <c r="G104" t="s">
        <v>17</v>
      </c>
      <c r="H104">
        <v>16.3</v>
      </c>
      <c r="I104">
        <v>11.1</v>
      </c>
      <c r="J104">
        <v>2</v>
      </c>
      <c r="K104" t="s">
        <v>15</v>
      </c>
      <c r="L104" t="s">
        <v>19</v>
      </c>
      <c r="O104">
        <v>449</v>
      </c>
    </row>
    <row r="105" spans="1:15" x14ac:dyDescent="0.45">
      <c r="A105">
        <v>6</v>
      </c>
      <c r="B105" t="s">
        <v>12</v>
      </c>
      <c r="C105" s="1">
        <v>44182.40347222222</v>
      </c>
      <c r="D105">
        <v>15</v>
      </c>
      <c r="E105" t="s">
        <v>13</v>
      </c>
      <c r="F105">
        <v>5</v>
      </c>
      <c r="G105" t="s">
        <v>14</v>
      </c>
      <c r="H105">
        <v>30</v>
      </c>
      <c r="I105">
        <v>15</v>
      </c>
      <c r="J105">
        <v>3</v>
      </c>
      <c r="L105" t="s">
        <v>16</v>
      </c>
      <c r="O105">
        <v>6</v>
      </c>
    </row>
    <row r="106" spans="1:15" x14ac:dyDescent="0.45">
      <c r="A106">
        <v>274</v>
      </c>
      <c r="B106" t="s">
        <v>12</v>
      </c>
      <c r="C106" s="1">
        <v>44007.466666666667</v>
      </c>
      <c r="D106">
        <v>10</v>
      </c>
      <c r="E106" t="s">
        <v>13</v>
      </c>
      <c r="F106">
        <v>5</v>
      </c>
      <c r="G106" t="s">
        <v>17</v>
      </c>
      <c r="H106">
        <v>43.4</v>
      </c>
      <c r="I106">
        <v>18.600000000000001</v>
      </c>
      <c r="J106">
        <v>3</v>
      </c>
      <c r="K106" t="s">
        <v>15</v>
      </c>
      <c r="L106" t="s">
        <v>16</v>
      </c>
      <c r="O106">
        <v>274</v>
      </c>
    </row>
    <row r="107" spans="1:15" x14ac:dyDescent="0.45">
      <c r="A107">
        <v>47</v>
      </c>
      <c r="B107" t="s">
        <v>12</v>
      </c>
      <c r="C107" s="1">
        <v>44230.477083333331</v>
      </c>
      <c r="D107">
        <v>11</v>
      </c>
      <c r="E107" t="s">
        <v>13</v>
      </c>
      <c r="F107">
        <v>5</v>
      </c>
      <c r="G107" t="s">
        <v>14</v>
      </c>
      <c r="H107">
        <v>31</v>
      </c>
      <c r="I107">
        <v>16</v>
      </c>
      <c r="J107">
        <v>5</v>
      </c>
      <c r="L107" t="s">
        <v>16</v>
      </c>
      <c r="O107">
        <v>47</v>
      </c>
    </row>
    <row r="108" spans="1:15" x14ac:dyDescent="0.45">
      <c r="A108">
        <v>244</v>
      </c>
      <c r="B108" t="s">
        <v>18</v>
      </c>
      <c r="C108" s="1">
        <v>43995.530555555553</v>
      </c>
      <c r="D108">
        <v>12</v>
      </c>
      <c r="E108" t="s">
        <v>13</v>
      </c>
      <c r="F108">
        <v>5</v>
      </c>
      <c r="G108" t="s">
        <v>20</v>
      </c>
      <c r="H108">
        <v>71</v>
      </c>
      <c r="I108">
        <v>43</v>
      </c>
      <c r="J108">
        <v>4</v>
      </c>
      <c r="K108" t="s">
        <v>15</v>
      </c>
      <c r="L108" t="s">
        <v>19</v>
      </c>
      <c r="O108">
        <v>244</v>
      </c>
    </row>
    <row r="109" spans="1:15" x14ac:dyDescent="0.45">
      <c r="A109">
        <v>78</v>
      </c>
      <c r="B109" t="s">
        <v>12</v>
      </c>
      <c r="C109" s="1">
        <v>44209.45</v>
      </c>
      <c r="D109">
        <v>15</v>
      </c>
      <c r="E109" t="s">
        <v>13</v>
      </c>
      <c r="F109">
        <v>5</v>
      </c>
      <c r="G109" t="s">
        <v>14</v>
      </c>
      <c r="H109">
        <v>65</v>
      </c>
      <c r="I109">
        <v>30</v>
      </c>
      <c r="J109">
        <v>4</v>
      </c>
      <c r="L109" t="s">
        <v>16</v>
      </c>
      <c r="O109">
        <v>78</v>
      </c>
    </row>
    <row r="110" spans="1:15" x14ac:dyDescent="0.45">
      <c r="A110">
        <v>17</v>
      </c>
      <c r="B110" t="s">
        <v>12</v>
      </c>
      <c r="C110" s="1">
        <v>44013.441666666666</v>
      </c>
      <c r="D110">
        <v>14</v>
      </c>
      <c r="E110" t="s">
        <v>13</v>
      </c>
      <c r="F110">
        <v>5</v>
      </c>
      <c r="G110" t="s">
        <v>14</v>
      </c>
      <c r="H110">
        <v>70</v>
      </c>
      <c r="I110">
        <v>28</v>
      </c>
      <c r="J110">
        <v>4</v>
      </c>
      <c r="L110" t="s">
        <v>16</v>
      </c>
      <c r="O110">
        <v>17</v>
      </c>
    </row>
    <row r="111" spans="1:15" x14ac:dyDescent="0.45">
      <c r="A111">
        <v>468</v>
      </c>
      <c r="B111" t="s">
        <v>12</v>
      </c>
      <c r="C111" s="1">
        <v>44197.441666666666</v>
      </c>
      <c r="D111">
        <v>11</v>
      </c>
      <c r="E111" t="s">
        <v>13</v>
      </c>
      <c r="F111">
        <v>5</v>
      </c>
      <c r="G111" t="s">
        <v>14</v>
      </c>
      <c r="H111">
        <v>40</v>
      </c>
      <c r="I111">
        <v>28</v>
      </c>
      <c r="J111">
        <v>5</v>
      </c>
      <c r="L111" t="s">
        <v>16</v>
      </c>
      <c r="O111">
        <v>468</v>
      </c>
    </row>
    <row r="112" spans="1:15" x14ac:dyDescent="0.45">
      <c r="A112">
        <v>587</v>
      </c>
      <c r="B112" t="s">
        <v>18</v>
      </c>
      <c r="C112" s="1">
        <v>44106.404166666667</v>
      </c>
      <c r="D112">
        <v>9</v>
      </c>
      <c r="E112" t="s">
        <v>13</v>
      </c>
      <c r="F112">
        <v>5</v>
      </c>
      <c r="G112" t="s">
        <v>14</v>
      </c>
      <c r="H112">
        <v>35</v>
      </c>
      <c r="I112">
        <v>13</v>
      </c>
      <c r="J112">
        <v>4</v>
      </c>
      <c r="K112" t="s">
        <v>15</v>
      </c>
      <c r="L112" t="s">
        <v>19</v>
      </c>
      <c r="O112">
        <v>587</v>
      </c>
    </row>
    <row r="113" spans="1:15" x14ac:dyDescent="0.45">
      <c r="A113">
        <v>549</v>
      </c>
      <c r="B113" t="s">
        <v>12</v>
      </c>
      <c r="C113" s="1">
        <v>43955</v>
      </c>
      <c r="D113">
        <v>11</v>
      </c>
      <c r="E113" t="s">
        <v>13</v>
      </c>
      <c r="F113">
        <v>5</v>
      </c>
      <c r="G113" t="s">
        <v>20</v>
      </c>
      <c r="I113">
        <v>13.4</v>
      </c>
      <c r="J113">
        <v>4</v>
      </c>
      <c r="K113" t="s">
        <v>15</v>
      </c>
      <c r="L113" t="s">
        <v>16</v>
      </c>
      <c r="O113">
        <v>549</v>
      </c>
    </row>
    <row r="114" spans="1:15" x14ac:dyDescent="0.45">
      <c r="A114">
        <v>556</v>
      </c>
      <c r="B114" t="s">
        <v>12</v>
      </c>
      <c r="C114" s="1">
        <v>44307.517361111109</v>
      </c>
      <c r="D114">
        <v>7</v>
      </c>
      <c r="E114" t="s">
        <v>13</v>
      </c>
      <c r="F114">
        <v>5</v>
      </c>
      <c r="G114" t="s">
        <v>14</v>
      </c>
      <c r="H114">
        <v>14</v>
      </c>
      <c r="I114">
        <v>5</v>
      </c>
      <c r="J114">
        <v>5</v>
      </c>
      <c r="L114" t="s">
        <v>16</v>
      </c>
      <c r="O114">
        <v>556</v>
      </c>
    </row>
    <row r="115" spans="1:15" x14ac:dyDescent="0.45">
      <c r="A115">
        <v>402</v>
      </c>
      <c r="B115" t="s">
        <v>21</v>
      </c>
      <c r="C115" s="1">
        <v>44155.502083333333</v>
      </c>
      <c r="D115">
        <v>20</v>
      </c>
      <c r="E115" t="s">
        <v>13</v>
      </c>
      <c r="F115">
        <v>17</v>
      </c>
      <c r="G115" t="s">
        <v>20</v>
      </c>
      <c r="H115">
        <v>40.700000000000003</v>
      </c>
      <c r="I115">
        <v>19.8</v>
      </c>
      <c r="J115">
        <v>6</v>
      </c>
      <c r="L115" t="s">
        <v>16</v>
      </c>
      <c r="O115">
        <v>402</v>
      </c>
    </row>
    <row r="116" spans="1:15" x14ac:dyDescent="0.45">
      <c r="A116">
        <v>511</v>
      </c>
      <c r="B116" t="s">
        <v>21</v>
      </c>
      <c r="C116" s="1">
        <v>43976.717361111114</v>
      </c>
      <c r="D116">
        <v>53</v>
      </c>
      <c r="E116" t="s">
        <v>13</v>
      </c>
      <c r="F116">
        <v>17</v>
      </c>
      <c r="G116" t="s">
        <v>14</v>
      </c>
      <c r="H116">
        <v>50</v>
      </c>
      <c r="I116">
        <v>22</v>
      </c>
      <c r="J116">
        <v>4</v>
      </c>
      <c r="K116" t="s">
        <v>15</v>
      </c>
      <c r="L116" t="s">
        <v>16</v>
      </c>
      <c r="O116">
        <v>511</v>
      </c>
    </row>
    <row r="117" spans="1:15" x14ac:dyDescent="0.45">
      <c r="A117">
        <v>405</v>
      </c>
      <c r="B117" t="s">
        <v>12</v>
      </c>
      <c r="C117" s="1">
        <v>44109.749305555553</v>
      </c>
      <c r="D117">
        <v>59</v>
      </c>
      <c r="E117" t="s">
        <v>13</v>
      </c>
      <c r="F117">
        <v>17</v>
      </c>
      <c r="G117" t="s">
        <v>20</v>
      </c>
      <c r="H117">
        <v>40</v>
      </c>
      <c r="I117">
        <v>21</v>
      </c>
      <c r="J117">
        <v>4</v>
      </c>
      <c r="K117" t="s">
        <v>15</v>
      </c>
      <c r="L117" t="s">
        <v>16</v>
      </c>
      <c r="O117">
        <v>405</v>
      </c>
    </row>
    <row r="118" spans="1:15" x14ac:dyDescent="0.45">
      <c r="A118">
        <v>205</v>
      </c>
      <c r="B118" t="s">
        <v>12</v>
      </c>
      <c r="C118" s="1">
        <v>44095.462500000001</v>
      </c>
      <c r="D118">
        <v>72</v>
      </c>
      <c r="E118" t="s">
        <v>13</v>
      </c>
      <c r="F118">
        <v>2</v>
      </c>
      <c r="G118" t="s">
        <v>20</v>
      </c>
      <c r="H118">
        <v>54</v>
      </c>
      <c r="I118">
        <v>23</v>
      </c>
      <c r="J118">
        <v>8</v>
      </c>
      <c r="K118" t="s">
        <v>15</v>
      </c>
      <c r="L118" t="s">
        <v>16</v>
      </c>
      <c r="O118">
        <v>205</v>
      </c>
    </row>
    <row r="119" spans="1:15" x14ac:dyDescent="0.45">
      <c r="A119">
        <v>270</v>
      </c>
      <c r="B119" t="s">
        <v>21</v>
      </c>
      <c r="C119" s="1">
        <v>43945.552777777775</v>
      </c>
      <c r="D119">
        <v>74</v>
      </c>
      <c r="E119" t="s">
        <v>13</v>
      </c>
      <c r="F119">
        <v>2</v>
      </c>
      <c r="G119" t="s">
        <v>20</v>
      </c>
      <c r="H119">
        <v>15</v>
      </c>
      <c r="I119">
        <v>9.6999999999999993</v>
      </c>
      <c r="J119">
        <v>6</v>
      </c>
      <c r="K119" t="s">
        <v>15</v>
      </c>
      <c r="L119" t="s">
        <v>16</v>
      </c>
      <c r="O119">
        <v>270</v>
      </c>
    </row>
    <row r="120" spans="1:15" x14ac:dyDescent="0.45">
      <c r="A120">
        <v>288</v>
      </c>
      <c r="B120" t="s">
        <v>12</v>
      </c>
      <c r="C120" s="1">
        <v>44125.51458333333</v>
      </c>
      <c r="D120">
        <v>44</v>
      </c>
      <c r="E120" t="s">
        <v>13</v>
      </c>
      <c r="F120">
        <v>2</v>
      </c>
      <c r="G120" t="s">
        <v>14</v>
      </c>
      <c r="H120">
        <v>50</v>
      </c>
      <c r="I120">
        <v>30</v>
      </c>
      <c r="J120">
        <v>3</v>
      </c>
      <c r="K120" t="s">
        <v>15</v>
      </c>
      <c r="L120" t="s">
        <v>16</v>
      </c>
      <c r="O120">
        <v>288</v>
      </c>
    </row>
    <row r="121" spans="1:15" x14ac:dyDescent="0.45">
      <c r="A121">
        <v>463</v>
      </c>
      <c r="B121" t="s">
        <v>12</v>
      </c>
      <c r="C121" s="1">
        <v>43970.527777777781</v>
      </c>
      <c r="D121">
        <v>32</v>
      </c>
      <c r="E121" t="s">
        <v>13</v>
      </c>
      <c r="F121">
        <v>2</v>
      </c>
      <c r="G121" t="s">
        <v>20</v>
      </c>
      <c r="H121">
        <v>50</v>
      </c>
      <c r="I121">
        <v>29.5</v>
      </c>
      <c r="J121">
        <v>5</v>
      </c>
      <c r="K121" t="s">
        <v>15</v>
      </c>
      <c r="L121" t="s">
        <v>16</v>
      </c>
      <c r="O121">
        <v>463</v>
      </c>
    </row>
    <row r="122" spans="1:15" x14ac:dyDescent="0.45">
      <c r="A122">
        <v>101</v>
      </c>
      <c r="B122" t="s">
        <v>21</v>
      </c>
      <c r="C122" s="1">
        <v>43966.535416666666</v>
      </c>
      <c r="D122">
        <v>20</v>
      </c>
      <c r="E122" t="s">
        <v>13</v>
      </c>
      <c r="F122">
        <v>2</v>
      </c>
      <c r="G122" t="s">
        <v>14</v>
      </c>
      <c r="H122">
        <v>60</v>
      </c>
      <c r="I122">
        <v>29</v>
      </c>
      <c r="J122">
        <v>6</v>
      </c>
      <c r="K122" t="s">
        <v>23</v>
      </c>
      <c r="L122" t="s">
        <v>16</v>
      </c>
      <c r="O122">
        <v>101</v>
      </c>
    </row>
    <row r="123" spans="1:15" x14ac:dyDescent="0.45">
      <c r="A123">
        <v>266</v>
      </c>
      <c r="B123" t="s">
        <v>12</v>
      </c>
      <c r="C123" s="1">
        <v>43993.513888888891</v>
      </c>
      <c r="D123">
        <v>21</v>
      </c>
      <c r="E123" t="s">
        <v>13</v>
      </c>
      <c r="F123">
        <v>2</v>
      </c>
      <c r="G123" t="s">
        <v>14</v>
      </c>
      <c r="H123">
        <v>170</v>
      </c>
      <c r="I123">
        <v>50</v>
      </c>
      <c r="J123">
        <v>5</v>
      </c>
      <c r="K123" t="s">
        <v>15</v>
      </c>
      <c r="L123" t="s">
        <v>16</v>
      </c>
      <c r="O123">
        <v>266</v>
      </c>
    </row>
    <row r="124" spans="1:15" x14ac:dyDescent="0.45">
      <c r="A124">
        <v>533</v>
      </c>
      <c r="B124" t="s">
        <v>18</v>
      </c>
      <c r="C124" s="1">
        <v>43973.461805555555</v>
      </c>
      <c r="D124">
        <v>48</v>
      </c>
      <c r="E124" t="s">
        <v>13</v>
      </c>
      <c r="F124">
        <v>2</v>
      </c>
      <c r="G124" t="s">
        <v>14</v>
      </c>
      <c r="H124">
        <v>150</v>
      </c>
      <c r="I124">
        <v>41</v>
      </c>
      <c r="J124">
        <v>5</v>
      </c>
      <c r="K124" t="s">
        <v>15</v>
      </c>
      <c r="L124" t="s">
        <v>19</v>
      </c>
      <c r="O124">
        <v>533</v>
      </c>
    </row>
    <row r="125" spans="1:15" x14ac:dyDescent="0.45">
      <c r="A125">
        <v>277</v>
      </c>
      <c r="B125" t="s">
        <v>12</v>
      </c>
      <c r="C125" s="1">
        <v>44248.527083333334</v>
      </c>
      <c r="D125">
        <v>53</v>
      </c>
      <c r="E125" t="s">
        <v>13</v>
      </c>
      <c r="F125">
        <v>2</v>
      </c>
      <c r="G125" t="s">
        <v>14</v>
      </c>
      <c r="H125">
        <v>195</v>
      </c>
      <c r="I125">
        <v>56</v>
      </c>
      <c r="J125">
        <v>5</v>
      </c>
      <c r="K125" t="s">
        <v>23</v>
      </c>
      <c r="L125" t="s">
        <v>16</v>
      </c>
      <c r="O125">
        <v>277</v>
      </c>
    </row>
    <row r="126" spans="1:15" x14ac:dyDescent="0.45">
      <c r="A126">
        <v>564</v>
      </c>
      <c r="B126" t="s">
        <v>12</v>
      </c>
      <c r="C126" s="1">
        <v>43964.53402777778</v>
      </c>
      <c r="D126">
        <v>20</v>
      </c>
      <c r="E126" t="s">
        <v>13</v>
      </c>
      <c r="F126">
        <v>2</v>
      </c>
      <c r="G126" t="s">
        <v>14</v>
      </c>
      <c r="H126">
        <v>70</v>
      </c>
      <c r="I126">
        <v>38</v>
      </c>
      <c r="J126">
        <v>3</v>
      </c>
      <c r="L126" t="s">
        <v>16</v>
      </c>
      <c r="O126">
        <v>564</v>
      </c>
    </row>
    <row r="127" spans="1:15" x14ac:dyDescent="0.45">
      <c r="A127">
        <v>436</v>
      </c>
      <c r="B127" t="s">
        <v>21</v>
      </c>
      <c r="C127" s="1">
        <v>44303.605555555558</v>
      </c>
      <c r="D127">
        <v>20</v>
      </c>
      <c r="E127" t="s">
        <v>13</v>
      </c>
      <c r="F127">
        <v>2</v>
      </c>
      <c r="G127" t="s">
        <v>14</v>
      </c>
      <c r="H127">
        <v>45</v>
      </c>
      <c r="I127">
        <v>20</v>
      </c>
      <c r="J127">
        <v>4</v>
      </c>
      <c r="K127" t="s">
        <v>15</v>
      </c>
      <c r="L127" t="s">
        <v>16</v>
      </c>
      <c r="O127">
        <v>436</v>
      </c>
    </row>
    <row r="128" spans="1:15" hidden="1" x14ac:dyDescent="0.45">
      <c r="A128">
        <v>390</v>
      </c>
      <c r="B128" t="s">
        <v>21</v>
      </c>
      <c r="C128" s="1">
        <v>44237.523611111108</v>
      </c>
      <c r="D128">
        <v>72</v>
      </c>
      <c r="E128" t="s">
        <v>25</v>
      </c>
      <c r="F128">
        <v>2</v>
      </c>
      <c r="G128" t="s">
        <v>20</v>
      </c>
      <c r="H128">
        <v>40</v>
      </c>
      <c r="I128">
        <v>21</v>
      </c>
      <c r="J128">
        <v>5</v>
      </c>
      <c r="K128" t="s">
        <v>15</v>
      </c>
      <c r="L128" t="s">
        <v>16</v>
      </c>
      <c r="O128">
        <v>430</v>
      </c>
    </row>
    <row r="129" spans="1:15" x14ac:dyDescent="0.45">
      <c r="A129">
        <v>430</v>
      </c>
      <c r="B129" t="s">
        <v>21</v>
      </c>
      <c r="C129" s="1">
        <v>43965.574305555558</v>
      </c>
      <c r="D129">
        <v>59</v>
      </c>
      <c r="E129" t="s">
        <v>13</v>
      </c>
      <c r="F129">
        <v>2</v>
      </c>
      <c r="G129" t="s">
        <v>14</v>
      </c>
      <c r="H129">
        <v>28</v>
      </c>
      <c r="I129">
        <v>16</v>
      </c>
      <c r="J129">
        <v>4</v>
      </c>
      <c r="K129" t="s">
        <v>15</v>
      </c>
      <c r="L129" t="s">
        <v>16</v>
      </c>
      <c r="O129">
        <v>21</v>
      </c>
    </row>
    <row r="130" spans="1:15" x14ac:dyDescent="0.45">
      <c r="A130">
        <v>21</v>
      </c>
      <c r="B130" t="s">
        <v>21</v>
      </c>
      <c r="C130" s="1">
        <v>43962.556250000001</v>
      </c>
      <c r="D130">
        <v>39</v>
      </c>
      <c r="E130" t="s">
        <v>13</v>
      </c>
      <c r="F130">
        <v>2</v>
      </c>
      <c r="G130" t="s">
        <v>20</v>
      </c>
      <c r="H130">
        <v>43.3</v>
      </c>
      <c r="I130">
        <v>21.2</v>
      </c>
      <c r="J130">
        <v>5</v>
      </c>
      <c r="L130" t="s">
        <v>16</v>
      </c>
      <c r="O130">
        <v>164</v>
      </c>
    </row>
    <row r="131" spans="1:15" x14ac:dyDescent="0.45">
      <c r="A131">
        <v>164</v>
      </c>
      <c r="B131" t="s">
        <v>21</v>
      </c>
      <c r="C131" s="1">
        <v>44226.544444444444</v>
      </c>
      <c r="D131">
        <v>28</v>
      </c>
      <c r="E131" t="s">
        <v>13</v>
      </c>
      <c r="F131">
        <v>2</v>
      </c>
      <c r="G131" t="s">
        <v>14</v>
      </c>
      <c r="H131">
        <v>38</v>
      </c>
      <c r="I131">
        <v>16</v>
      </c>
      <c r="J131">
        <v>3</v>
      </c>
      <c r="K131" t="s">
        <v>23</v>
      </c>
      <c r="L131" t="s">
        <v>16</v>
      </c>
      <c r="O131">
        <v>241</v>
      </c>
    </row>
    <row r="132" spans="1:15" x14ac:dyDescent="0.45">
      <c r="A132">
        <v>241</v>
      </c>
      <c r="B132" t="s">
        <v>21</v>
      </c>
      <c r="C132" s="1">
        <v>44301.534722222219</v>
      </c>
      <c r="D132">
        <v>40</v>
      </c>
      <c r="E132" t="s">
        <v>13</v>
      </c>
      <c r="F132">
        <v>2</v>
      </c>
      <c r="G132" t="s">
        <v>14</v>
      </c>
      <c r="H132">
        <v>28</v>
      </c>
      <c r="I132">
        <v>18</v>
      </c>
      <c r="J132">
        <v>2</v>
      </c>
      <c r="K132" t="s">
        <v>15</v>
      </c>
      <c r="L132" t="s">
        <v>16</v>
      </c>
      <c r="O132">
        <v>476</v>
      </c>
    </row>
    <row r="133" spans="1:15" x14ac:dyDescent="0.45">
      <c r="A133">
        <v>476</v>
      </c>
      <c r="B133" t="s">
        <v>18</v>
      </c>
      <c r="C133" s="1">
        <v>44262.521527777775</v>
      </c>
      <c r="D133">
        <v>45</v>
      </c>
      <c r="E133" t="s">
        <v>13</v>
      </c>
      <c r="F133">
        <v>2</v>
      </c>
      <c r="G133" t="s">
        <v>14</v>
      </c>
      <c r="H133">
        <v>55</v>
      </c>
      <c r="I133">
        <v>30</v>
      </c>
      <c r="J133">
        <v>4</v>
      </c>
      <c r="K133" t="s">
        <v>15</v>
      </c>
      <c r="L133" t="s">
        <v>19</v>
      </c>
      <c r="O133">
        <v>503</v>
      </c>
    </row>
    <row r="134" spans="1:15" x14ac:dyDescent="0.45">
      <c r="A134">
        <v>503</v>
      </c>
      <c r="B134" t="s">
        <v>21</v>
      </c>
      <c r="C134" s="1">
        <v>44207.51666666667</v>
      </c>
      <c r="D134">
        <v>40</v>
      </c>
      <c r="E134" t="s">
        <v>13</v>
      </c>
      <c r="F134">
        <v>2</v>
      </c>
      <c r="G134" t="s">
        <v>14</v>
      </c>
      <c r="H134">
        <v>160</v>
      </c>
      <c r="I134">
        <v>50</v>
      </c>
      <c r="J134">
        <v>4</v>
      </c>
      <c r="K134" t="s">
        <v>15</v>
      </c>
      <c r="L134" t="s">
        <v>16</v>
      </c>
      <c r="O134">
        <v>593</v>
      </c>
    </row>
    <row r="135" spans="1:15" x14ac:dyDescent="0.45">
      <c r="A135">
        <v>593</v>
      </c>
      <c r="B135" t="s">
        <v>12</v>
      </c>
      <c r="C135" s="1">
        <v>44036.589583333334</v>
      </c>
      <c r="D135">
        <v>24</v>
      </c>
      <c r="E135" t="s">
        <v>13</v>
      </c>
      <c r="F135">
        <v>2</v>
      </c>
      <c r="G135" t="s">
        <v>14</v>
      </c>
      <c r="H135">
        <v>63</v>
      </c>
      <c r="I135">
        <v>18</v>
      </c>
      <c r="J135">
        <v>5</v>
      </c>
      <c r="K135" t="s">
        <v>23</v>
      </c>
      <c r="L135" t="s">
        <v>16</v>
      </c>
      <c r="O135">
        <v>130</v>
      </c>
    </row>
    <row r="136" spans="1:15" x14ac:dyDescent="0.45">
      <c r="A136">
        <v>130</v>
      </c>
      <c r="B136" t="s">
        <v>12</v>
      </c>
      <c r="C136" s="1">
        <v>43951.417361111111</v>
      </c>
      <c r="D136">
        <v>13</v>
      </c>
      <c r="E136" t="s">
        <v>13</v>
      </c>
      <c r="F136">
        <v>4</v>
      </c>
      <c r="G136" t="s">
        <v>17</v>
      </c>
      <c r="H136">
        <v>55.7</v>
      </c>
      <c r="I136">
        <v>27.2</v>
      </c>
      <c r="J136">
        <v>8</v>
      </c>
      <c r="K136" t="s">
        <v>15</v>
      </c>
      <c r="L136" t="s">
        <v>16</v>
      </c>
      <c r="O136">
        <v>52</v>
      </c>
    </row>
    <row r="137" spans="1:15" x14ac:dyDescent="0.45">
      <c r="A137">
        <v>52</v>
      </c>
      <c r="B137" t="s">
        <v>18</v>
      </c>
      <c r="C137" s="1">
        <v>44292.419444444444</v>
      </c>
      <c r="D137">
        <v>13</v>
      </c>
      <c r="E137" t="s">
        <v>13</v>
      </c>
      <c r="F137">
        <v>4</v>
      </c>
      <c r="G137" t="s">
        <v>14</v>
      </c>
      <c r="H137">
        <v>61</v>
      </c>
      <c r="I137">
        <v>16</v>
      </c>
      <c r="J137">
        <v>7</v>
      </c>
      <c r="K137" t="s">
        <v>15</v>
      </c>
      <c r="L137" t="s">
        <v>19</v>
      </c>
      <c r="O137">
        <v>304</v>
      </c>
    </row>
    <row r="138" spans="1:15" x14ac:dyDescent="0.45">
      <c r="A138">
        <v>304</v>
      </c>
      <c r="B138" t="s">
        <v>12</v>
      </c>
      <c r="C138" s="1">
        <v>44076.573611111111</v>
      </c>
      <c r="D138">
        <v>17</v>
      </c>
      <c r="E138" t="s">
        <v>13</v>
      </c>
      <c r="F138">
        <v>4</v>
      </c>
      <c r="G138" t="s">
        <v>14</v>
      </c>
      <c r="H138">
        <v>11</v>
      </c>
      <c r="I138">
        <v>3</v>
      </c>
      <c r="J138">
        <v>3</v>
      </c>
      <c r="K138" t="s">
        <v>15</v>
      </c>
      <c r="L138" t="s">
        <v>16</v>
      </c>
      <c r="O138">
        <v>259</v>
      </c>
    </row>
    <row r="139" spans="1:15" x14ac:dyDescent="0.45">
      <c r="A139">
        <v>259</v>
      </c>
      <c r="B139" t="s">
        <v>18</v>
      </c>
      <c r="C139" s="1">
        <v>43861.578472222223</v>
      </c>
      <c r="D139">
        <v>15</v>
      </c>
      <c r="E139" t="s">
        <v>13</v>
      </c>
      <c r="F139">
        <v>4</v>
      </c>
      <c r="G139" t="s">
        <v>14</v>
      </c>
      <c r="H139">
        <v>46</v>
      </c>
      <c r="I139">
        <v>21</v>
      </c>
      <c r="J139">
        <v>6</v>
      </c>
      <c r="K139" t="s">
        <v>15</v>
      </c>
      <c r="L139" t="s">
        <v>19</v>
      </c>
      <c r="O139">
        <v>40</v>
      </c>
    </row>
    <row r="140" spans="1:15" x14ac:dyDescent="0.45">
      <c r="A140">
        <v>40</v>
      </c>
      <c r="B140" t="s">
        <v>18</v>
      </c>
      <c r="C140" s="1">
        <v>43979.580555555556</v>
      </c>
      <c r="D140">
        <v>9</v>
      </c>
      <c r="E140" t="s">
        <v>13</v>
      </c>
      <c r="F140">
        <v>4</v>
      </c>
      <c r="G140" t="s">
        <v>17</v>
      </c>
      <c r="H140">
        <v>22</v>
      </c>
      <c r="I140">
        <v>11</v>
      </c>
      <c r="J140">
        <v>5</v>
      </c>
      <c r="K140" t="s">
        <v>15</v>
      </c>
      <c r="L140" t="s">
        <v>19</v>
      </c>
      <c r="O140">
        <v>501</v>
      </c>
    </row>
    <row r="141" spans="1:15" x14ac:dyDescent="0.45">
      <c r="A141">
        <v>501</v>
      </c>
      <c r="B141" t="s">
        <v>12</v>
      </c>
      <c r="C141" s="1">
        <v>43966.412499999999</v>
      </c>
      <c r="D141">
        <v>8</v>
      </c>
      <c r="E141" t="s">
        <v>13</v>
      </c>
      <c r="F141">
        <v>4</v>
      </c>
      <c r="G141" t="s">
        <v>14</v>
      </c>
      <c r="H141">
        <v>100</v>
      </c>
      <c r="I141">
        <v>30</v>
      </c>
      <c r="J141">
        <v>6</v>
      </c>
      <c r="K141" t="s">
        <v>15</v>
      </c>
      <c r="L141" t="s">
        <v>16</v>
      </c>
      <c r="O141">
        <v>94</v>
      </c>
    </row>
    <row r="142" spans="1:15" x14ac:dyDescent="0.45">
      <c r="A142">
        <v>94</v>
      </c>
      <c r="B142" t="s">
        <v>12</v>
      </c>
      <c r="C142" s="1">
        <v>44101.541666666664</v>
      </c>
      <c r="D142">
        <v>7</v>
      </c>
      <c r="E142" t="s">
        <v>13</v>
      </c>
      <c r="F142">
        <v>4</v>
      </c>
      <c r="G142" t="s">
        <v>17</v>
      </c>
      <c r="H142">
        <v>24</v>
      </c>
      <c r="I142">
        <v>10</v>
      </c>
      <c r="J142">
        <v>12</v>
      </c>
      <c r="K142" t="s">
        <v>15</v>
      </c>
      <c r="L142" t="s">
        <v>16</v>
      </c>
      <c r="O142">
        <v>545</v>
      </c>
    </row>
    <row r="143" spans="1:15" x14ac:dyDescent="0.45">
      <c r="A143">
        <v>545</v>
      </c>
      <c r="B143" t="s">
        <v>18</v>
      </c>
      <c r="C143" s="1">
        <v>43950.421527777777</v>
      </c>
      <c r="D143">
        <v>13</v>
      </c>
      <c r="E143" t="s">
        <v>13</v>
      </c>
      <c r="F143">
        <v>4</v>
      </c>
      <c r="G143" t="s">
        <v>14</v>
      </c>
      <c r="H143">
        <v>61</v>
      </c>
      <c r="I143">
        <v>16</v>
      </c>
      <c r="J143">
        <v>7</v>
      </c>
      <c r="K143" t="s">
        <v>15</v>
      </c>
      <c r="L143" t="s">
        <v>19</v>
      </c>
      <c r="O143">
        <v>426</v>
      </c>
    </row>
    <row r="144" spans="1:15" x14ac:dyDescent="0.45">
      <c r="A144">
        <v>426</v>
      </c>
      <c r="B144" t="s">
        <v>12</v>
      </c>
      <c r="C144" s="1">
        <v>44163.40347222222</v>
      </c>
      <c r="D144">
        <v>10</v>
      </c>
      <c r="E144" t="s">
        <v>13</v>
      </c>
      <c r="F144">
        <v>4</v>
      </c>
      <c r="G144" t="s">
        <v>14</v>
      </c>
      <c r="H144">
        <v>24</v>
      </c>
      <c r="I144">
        <v>9</v>
      </c>
      <c r="J144">
        <v>4</v>
      </c>
      <c r="K144" t="s">
        <v>15</v>
      </c>
      <c r="L144" t="s">
        <v>16</v>
      </c>
      <c r="O144">
        <v>592</v>
      </c>
    </row>
    <row r="145" spans="1:15" x14ac:dyDescent="0.45">
      <c r="A145">
        <v>592</v>
      </c>
      <c r="B145" t="s">
        <v>12</v>
      </c>
      <c r="C145" s="1">
        <v>43969.509027777778</v>
      </c>
      <c r="D145">
        <v>9</v>
      </c>
      <c r="E145" t="s">
        <v>13</v>
      </c>
      <c r="F145">
        <v>4</v>
      </c>
      <c r="G145" t="s">
        <v>17</v>
      </c>
      <c r="H145">
        <v>27</v>
      </c>
      <c r="I145">
        <v>12.3</v>
      </c>
      <c r="J145">
        <v>11</v>
      </c>
      <c r="K145" t="s">
        <v>23</v>
      </c>
      <c r="L145" t="s">
        <v>16</v>
      </c>
      <c r="O145">
        <v>299</v>
      </c>
    </row>
    <row r="146" spans="1:15" x14ac:dyDescent="0.45">
      <c r="A146">
        <v>299</v>
      </c>
      <c r="B146" t="s">
        <v>12</v>
      </c>
      <c r="C146" s="1">
        <v>44096.421527777777</v>
      </c>
      <c r="D146">
        <v>13</v>
      </c>
      <c r="E146" t="s">
        <v>13</v>
      </c>
      <c r="F146">
        <v>4</v>
      </c>
      <c r="G146" t="s">
        <v>20</v>
      </c>
      <c r="H146">
        <v>40</v>
      </c>
      <c r="I146">
        <v>17</v>
      </c>
      <c r="J146">
        <v>8</v>
      </c>
      <c r="K146" t="s">
        <v>15</v>
      </c>
      <c r="L146" t="s">
        <v>16</v>
      </c>
      <c r="O146">
        <v>27</v>
      </c>
    </row>
    <row r="147" spans="1:15" x14ac:dyDescent="0.45">
      <c r="A147">
        <v>27</v>
      </c>
      <c r="B147" t="s">
        <v>12</v>
      </c>
      <c r="C147" s="1">
        <v>43989.401388888888</v>
      </c>
      <c r="D147">
        <v>65</v>
      </c>
      <c r="E147" t="s">
        <v>13</v>
      </c>
      <c r="F147">
        <v>14</v>
      </c>
      <c r="G147" t="s">
        <v>17</v>
      </c>
      <c r="H147">
        <v>37.9</v>
      </c>
      <c r="I147">
        <v>25.8</v>
      </c>
      <c r="J147">
        <v>6</v>
      </c>
      <c r="K147" t="s">
        <v>15</v>
      </c>
      <c r="L147" t="s">
        <v>16</v>
      </c>
      <c r="O147">
        <v>16</v>
      </c>
    </row>
    <row r="148" spans="1:15" x14ac:dyDescent="0.45">
      <c r="A148">
        <v>16</v>
      </c>
      <c r="B148" t="s">
        <v>18</v>
      </c>
      <c r="C148" s="1">
        <v>44073.522916666669</v>
      </c>
      <c r="D148">
        <v>59</v>
      </c>
      <c r="E148" t="s">
        <v>13</v>
      </c>
      <c r="F148">
        <v>14</v>
      </c>
      <c r="G148" t="s">
        <v>14</v>
      </c>
      <c r="H148">
        <v>150</v>
      </c>
      <c r="I148">
        <v>50</v>
      </c>
      <c r="L148" t="s">
        <v>19</v>
      </c>
      <c r="O148">
        <v>171</v>
      </c>
    </row>
    <row r="149" spans="1:15" x14ac:dyDescent="0.45">
      <c r="A149">
        <v>171</v>
      </c>
      <c r="B149" t="s">
        <v>21</v>
      </c>
      <c r="C149" s="1">
        <v>44010.454861111109</v>
      </c>
      <c r="D149">
        <v>37</v>
      </c>
      <c r="E149" t="s">
        <v>13</v>
      </c>
      <c r="F149">
        <v>14</v>
      </c>
      <c r="G149" t="s">
        <v>14</v>
      </c>
      <c r="H149">
        <v>28</v>
      </c>
      <c r="I149">
        <v>12</v>
      </c>
      <c r="J149">
        <v>3</v>
      </c>
      <c r="K149" t="s">
        <v>15</v>
      </c>
      <c r="L149" t="s">
        <v>16</v>
      </c>
      <c r="O149">
        <v>39</v>
      </c>
    </row>
    <row r="150" spans="1:15" x14ac:dyDescent="0.45">
      <c r="A150">
        <v>39</v>
      </c>
      <c r="B150" t="s">
        <v>21</v>
      </c>
      <c r="C150" s="1">
        <v>44015.675694444442</v>
      </c>
      <c r="D150">
        <v>38</v>
      </c>
      <c r="E150" t="s">
        <v>13</v>
      </c>
      <c r="F150">
        <v>14</v>
      </c>
      <c r="G150" t="s">
        <v>14</v>
      </c>
      <c r="I150">
        <v>55</v>
      </c>
      <c r="K150" t="s">
        <v>15</v>
      </c>
      <c r="L150" t="s">
        <v>16</v>
      </c>
      <c r="O150">
        <v>153</v>
      </c>
    </row>
    <row r="151" spans="1:15" x14ac:dyDescent="0.45">
      <c r="A151">
        <v>153</v>
      </c>
      <c r="B151" t="s">
        <v>12</v>
      </c>
      <c r="C151" s="1">
        <v>44015.449305555558</v>
      </c>
      <c r="D151">
        <v>43</v>
      </c>
      <c r="E151" t="s">
        <v>13</v>
      </c>
      <c r="F151">
        <v>14</v>
      </c>
      <c r="G151" t="s">
        <v>14</v>
      </c>
      <c r="H151">
        <v>25</v>
      </c>
      <c r="I151">
        <v>15</v>
      </c>
      <c r="J151">
        <v>3</v>
      </c>
      <c r="L151" t="s">
        <v>16</v>
      </c>
      <c r="O151">
        <v>393</v>
      </c>
    </row>
    <row r="152" spans="1:15" x14ac:dyDescent="0.45">
      <c r="A152">
        <v>393</v>
      </c>
      <c r="B152" t="s">
        <v>12</v>
      </c>
      <c r="C152" s="1">
        <v>44162.461805555555</v>
      </c>
      <c r="D152">
        <v>44</v>
      </c>
      <c r="E152" t="s">
        <v>13</v>
      </c>
      <c r="F152">
        <v>14</v>
      </c>
      <c r="G152" t="s">
        <v>17</v>
      </c>
      <c r="H152">
        <v>32</v>
      </c>
      <c r="I152">
        <v>13.5</v>
      </c>
      <c r="J152">
        <v>4</v>
      </c>
      <c r="K152" t="s">
        <v>15</v>
      </c>
      <c r="L152" t="s">
        <v>16</v>
      </c>
      <c r="O152">
        <v>51</v>
      </c>
    </row>
    <row r="153" spans="1:15" x14ac:dyDescent="0.45">
      <c r="A153">
        <v>51</v>
      </c>
      <c r="B153" t="s">
        <v>12</v>
      </c>
      <c r="C153" s="1">
        <v>44208.375694444447</v>
      </c>
      <c r="D153">
        <v>51</v>
      </c>
      <c r="E153" t="s">
        <v>13</v>
      </c>
      <c r="F153">
        <v>14</v>
      </c>
      <c r="G153" t="s">
        <v>20</v>
      </c>
      <c r="H153">
        <v>48.7</v>
      </c>
      <c r="I153">
        <v>29.9</v>
      </c>
      <c r="J153">
        <v>9</v>
      </c>
      <c r="K153" t="s">
        <v>15</v>
      </c>
      <c r="L153" t="s">
        <v>16</v>
      </c>
      <c r="O153">
        <v>343</v>
      </c>
    </row>
    <row r="154" spans="1:15" x14ac:dyDescent="0.45">
      <c r="A154">
        <v>343</v>
      </c>
      <c r="B154" t="s">
        <v>18</v>
      </c>
      <c r="C154" s="1">
        <v>44073.402083333334</v>
      </c>
      <c r="D154">
        <v>37</v>
      </c>
      <c r="E154" t="s">
        <v>13</v>
      </c>
      <c r="F154">
        <v>14</v>
      </c>
      <c r="G154" t="s">
        <v>17</v>
      </c>
      <c r="H154">
        <v>41</v>
      </c>
      <c r="I154">
        <v>16.3</v>
      </c>
      <c r="J154">
        <v>4</v>
      </c>
      <c r="K154" t="s">
        <v>15</v>
      </c>
      <c r="L154" t="s">
        <v>19</v>
      </c>
      <c r="O154">
        <v>191</v>
      </c>
    </row>
    <row r="155" spans="1:15" x14ac:dyDescent="0.45">
      <c r="A155">
        <v>191</v>
      </c>
      <c r="B155" t="s">
        <v>12</v>
      </c>
      <c r="C155" s="1">
        <v>43999.46597222222</v>
      </c>
      <c r="D155">
        <v>30</v>
      </c>
      <c r="E155" t="s">
        <v>13</v>
      </c>
      <c r="F155">
        <v>14</v>
      </c>
      <c r="G155" t="s">
        <v>14</v>
      </c>
      <c r="I155">
        <v>24</v>
      </c>
      <c r="L155" t="s">
        <v>16</v>
      </c>
      <c r="O155">
        <v>212</v>
      </c>
    </row>
    <row r="156" spans="1:15" x14ac:dyDescent="0.45">
      <c r="A156">
        <v>212</v>
      </c>
      <c r="B156" t="s">
        <v>18</v>
      </c>
      <c r="C156" s="1">
        <v>43964.626388888886</v>
      </c>
      <c r="D156">
        <v>47</v>
      </c>
      <c r="E156" t="s">
        <v>13</v>
      </c>
      <c r="F156">
        <v>14</v>
      </c>
      <c r="G156" t="s">
        <v>20</v>
      </c>
      <c r="I156">
        <v>25.6</v>
      </c>
      <c r="J156">
        <v>5</v>
      </c>
      <c r="K156" t="s">
        <v>23</v>
      </c>
      <c r="L156" t="s">
        <v>19</v>
      </c>
      <c r="O156">
        <v>18</v>
      </c>
    </row>
    <row r="157" spans="1:15" x14ac:dyDescent="0.45">
      <c r="A157">
        <v>18</v>
      </c>
      <c r="B157" t="s">
        <v>21</v>
      </c>
      <c r="C157" s="1">
        <v>43930.382638888892</v>
      </c>
      <c r="D157">
        <v>46</v>
      </c>
      <c r="E157" t="s">
        <v>13</v>
      </c>
      <c r="F157">
        <v>14</v>
      </c>
      <c r="G157" t="s">
        <v>20</v>
      </c>
      <c r="H157">
        <v>40.799999999999997</v>
      </c>
      <c r="I157">
        <v>17.7</v>
      </c>
      <c r="J157">
        <v>8</v>
      </c>
      <c r="K157" t="s">
        <v>15</v>
      </c>
      <c r="L157" t="s">
        <v>16</v>
      </c>
      <c r="O157">
        <v>113</v>
      </c>
    </row>
    <row r="158" spans="1:15" x14ac:dyDescent="0.45">
      <c r="A158">
        <v>113</v>
      </c>
      <c r="B158" t="s">
        <v>21</v>
      </c>
      <c r="C158" s="1">
        <v>44163.543749999997</v>
      </c>
      <c r="D158">
        <v>21</v>
      </c>
      <c r="E158" t="s">
        <v>13</v>
      </c>
      <c r="F158">
        <v>14</v>
      </c>
      <c r="G158" t="s">
        <v>14</v>
      </c>
      <c r="H158">
        <v>56</v>
      </c>
      <c r="I158">
        <v>36</v>
      </c>
      <c r="J158">
        <v>3</v>
      </c>
      <c r="K158" t="s">
        <v>23</v>
      </c>
      <c r="L158" t="s">
        <v>16</v>
      </c>
      <c r="O158">
        <v>318</v>
      </c>
    </row>
    <row r="159" spans="1:15" x14ac:dyDescent="0.45">
      <c r="A159">
        <v>318</v>
      </c>
      <c r="B159" t="s">
        <v>21</v>
      </c>
      <c r="C159" s="1">
        <v>44147.51666666667</v>
      </c>
      <c r="D159">
        <v>29</v>
      </c>
      <c r="E159" t="s">
        <v>13</v>
      </c>
      <c r="F159">
        <v>14</v>
      </c>
      <c r="G159" t="s">
        <v>20</v>
      </c>
      <c r="H159">
        <v>37</v>
      </c>
      <c r="I159">
        <v>23.8</v>
      </c>
      <c r="L159" t="s">
        <v>16</v>
      </c>
      <c r="O159">
        <v>45</v>
      </c>
    </row>
    <row r="160" spans="1:15" x14ac:dyDescent="0.45">
      <c r="A160">
        <v>45</v>
      </c>
      <c r="B160" t="s">
        <v>21</v>
      </c>
      <c r="C160" s="1">
        <v>44053.379166666666</v>
      </c>
      <c r="D160">
        <v>57</v>
      </c>
      <c r="E160" t="s">
        <v>13</v>
      </c>
      <c r="F160">
        <v>14</v>
      </c>
      <c r="G160" t="s">
        <v>20</v>
      </c>
      <c r="H160">
        <v>63</v>
      </c>
      <c r="I160">
        <v>31.3</v>
      </c>
      <c r="J160">
        <v>4</v>
      </c>
      <c r="L160" t="s">
        <v>16</v>
      </c>
      <c r="O160">
        <v>293</v>
      </c>
    </row>
    <row r="161" spans="1:15" x14ac:dyDescent="0.45">
      <c r="A161">
        <v>293</v>
      </c>
      <c r="B161" t="s">
        <v>21</v>
      </c>
      <c r="C161" s="1">
        <v>44271.506944444445</v>
      </c>
      <c r="D161">
        <v>26</v>
      </c>
      <c r="E161" t="s">
        <v>13</v>
      </c>
      <c r="F161">
        <v>14</v>
      </c>
      <c r="G161" t="s">
        <v>20</v>
      </c>
      <c r="H161">
        <v>51</v>
      </c>
      <c r="I161">
        <v>42</v>
      </c>
      <c r="J161">
        <v>5</v>
      </c>
      <c r="L161" t="s">
        <v>16</v>
      </c>
      <c r="O161">
        <v>303</v>
      </c>
    </row>
    <row r="162" spans="1:15" x14ac:dyDescent="0.45">
      <c r="A162">
        <v>303</v>
      </c>
      <c r="B162" t="s">
        <v>18</v>
      </c>
      <c r="C162" s="1">
        <v>44035.476388888892</v>
      </c>
      <c r="D162">
        <v>32</v>
      </c>
      <c r="E162" t="s">
        <v>13</v>
      </c>
      <c r="F162">
        <v>14</v>
      </c>
      <c r="G162" t="s">
        <v>14</v>
      </c>
      <c r="H162">
        <v>172</v>
      </c>
      <c r="I162">
        <v>75</v>
      </c>
      <c r="J162">
        <v>4</v>
      </c>
      <c r="L162" t="s">
        <v>19</v>
      </c>
      <c r="O162">
        <v>530</v>
      </c>
    </row>
    <row r="163" spans="1:15" x14ac:dyDescent="0.45">
      <c r="A163">
        <v>530</v>
      </c>
      <c r="B163" t="s">
        <v>18</v>
      </c>
      <c r="C163" s="1">
        <v>43976.365277777775</v>
      </c>
      <c r="D163">
        <v>69</v>
      </c>
      <c r="E163" t="s">
        <v>13</v>
      </c>
      <c r="F163">
        <v>6</v>
      </c>
      <c r="G163" t="s">
        <v>20</v>
      </c>
      <c r="H163">
        <v>25</v>
      </c>
      <c r="I163">
        <v>18</v>
      </c>
      <c r="J163">
        <v>5</v>
      </c>
      <c r="K163" t="s">
        <v>15</v>
      </c>
      <c r="L163" t="s">
        <v>19</v>
      </c>
      <c r="O163">
        <v>112</v>
      </c>
    </row>
    <row r="164" spans="1:15" x14ac:dyDescent="0.45">
      <c r="A164">
        <v>112</v>
      </c>
      <c r="B164" t="s">
        <v>12</v>
      </c>
      <c r="C164" s="1">
        <v>44300.488194444442</v>
      </c>
      <c r="D164">
        <v>69</v>
      </c>
      <c r="E164" t="s">
        <v>13</v>
      </c>
      <c r="F164">
        <v>6</v>
      </c>
      <c r="G164" t="s">
        <v>14</v>
      </c>
      <c r="H164">
        <v>93</v>
      </c>
      <c r="I164">
        <v>50</v>
      </c>
      <c r="J164">
        <v>5</v>
      </c>
      <c r="L164" t="s">
        <v>16</v>
      </c>
      <c r="O164">
        <v>258</v>
      </c>
    </row>
    <row r="165" spans="1:15" x14ac:dyDescent="0.45">
      <c r="A165">
        <v>258</v>
      </c>
      <c r="B165" t="s">
        <v>21</v>
      </c>
      <c r="C165" s="1">
        <v>44060.340277777781</v>
      </c>
      <c r="D165">
        <v>61</v>
      </c>
      <c r="E165" t="s">
        <v>13</v>
      </c>
      <c r="F165">
        <v>6</v>
      </c>
      <c r="G165" t="s">
        <v>17</v>
      </c>
      <c r="H165">
        <v>60</v>
      </c>
      <c r="I165">
        <v>31</v>
      </c>
      <c r="J165">
        <v>4</v>
      </c>
      <c r="K165" t="s">
        <v>15</v>
      </c>
      <c r="L165" t="s">
        <v>16</v>
      </c>
      <c r="O165">
        <v>206</v>
      </c>
    </row>
    <row r="166" spans="1:15" x14ac:dyDescent="0.45">
      <c r="A166">
        <v>206</v>
      </c>
      <c r="B166" t="s">
        <v>12</v>
      </c>
      <c r="C166" s="1">
        <v>44087.510416666664</v>
      </c>
      <c r="D166">
        <v>47</v>
      </c>
      <c r="E166" t="s">
        <v>13</v>
      </c>
      <c r="F166">
        <v>6</v>
      </c>
      <c r="G166" t="s">
        <v>14</v>
      </c>
      <c r="H166">
        <v>49</v>
      </c>
      <c r="I166">
        <v>26</v>
      </c>
      <c r="J166">
        <v>4</v>
      </c>
      <c r="K166" t="s">
        <v>23</v>
      </c>
      <c r="L166" t="s">
        <v>16</v>
      </c>
      <c r="O166">
        <v>326</v>
      </c>
    </row>
    <row r="167" spans="1:15" x14ac:dyDescent="0.45">
      <c r="A167">
        <v>326</v>
      </c>
      <c r="B167" t="s">
        <v>12</v>
      </c>
      <c r="C167" s="1">
        <v>44264.569444444445</v>
      </c>
      <c r="D167">
        <v>66</v>
      </c>
      <c r="E167" t="s">
        <v>13</v>
      </c>
      <c r="F167">
        <v>6</v>
      </c>
      <c r="G167" t="s">
        <v>14</v>
      </c>
      <c r="H167">
        <v>69</v>
      </c>
      <c r="I167">
        <v>34</v>
      </c>
      <c r="J167">
        <v>4</v>
      </c>
      <c r="K167" t="s">
        <v>15</v>
      </c>
      <c r="L167" t="s">
        <v>16</v>
      </c>
      <c r="O167">
        <v>71</v>
      </c>
    </row>
    <row r="168" spans="1:15" x14ac:dyDescent="0.45">
      <c r="A168">
        <v>71</v>
      </c>
      <c r="B168" t="s">
        <v>12</v>
      </c>
      <c r="C168" s="1">
        <v>43851.609027777777</v>
      </c>
      <c r="D168">
        <v>50</v>
      </c>
      <c r="E168" t="s">
        <v>13</v>
      </c>
      <c r="F168">
        <v>6</v>
      </c>
      <c r="G168" t="s">
        <v>20</v>
      </c>
      <c r="H168">
        <v>102</v>
      </c>
      <c r="I168">
        <v>64</v>
      </c>
      <c r="J168">
        <v>4</v>
      </c>
      <c r="K168" t="s">
        <v>15</v>
      </c>
      <c r="L168" t="s">
        <v>16</v>
      </c>
      <c r="O168">
        <v>217</v>
      </c>
    </row>
    <row r="169" spans="1:15" x14ac:dyDescent="0.45">
      <c r="A169">
        <v>217</v>
      </c>
      <c r="B169" t="s">
        <v>21</v>
      </c>
      <c r="C169" s="1">
        <v>43985.552083333336</v>
      </c>
      <c r="D169">
        <v>37</v>
      </c>
      <c r="E169" t="s">
        <v>13</v>
      </c>
      <c r="F169">
        <v>6</v>
      </c>
      <c r="G169" t="s">
        <v>17</v>
      </c>
      <c r="H169">
        <v>55</v>
      </c>
      <c r="I169">
        <v>23.5</v>
      </c>
      <c r="J169">
        <v>4</v>
      </c>
      <c r="K169" t="s">
        <v>15</v>
      </c>
      <c r="L169" t="s">
        <v>16</v>
      </c>
      <c r="O169">
        <v>200</v>
      </c>
    </row>
    <row r="170" spans="1:15" x14ac:dyDescent="0.45">
      <c r="A170">
        <v>200</v>
      </c>
      <c r="B170" t="s">
        <v>21</v>
      </c>
      <c r="C170" s="1">
        <v>44223.353472222225</v>
      </c>
      <c r="D170">
        <v>54</v>
      </c>
      <c r="E170" t="s">
        <v>13</v>
      </c>
      <c r="F170">
        <v>6</v>
      </c>
      <c r="G170" t="s">
        <v>14</v>
      </c>
      <c r="H170">
        <v>70</v>
      </c>
      <c r="I170">
        <v>46</v>
      </c>
      <c r="J170">
        <v>2</v>
      </c>
      <c r="L170" t="s">
        <v>16</v>
      </c>
      <c r="O170">
        <v>517</v>
      </c>
    </row>
    <row r="171" spans="1:15" x14ac:dyDescent="0.45">
      <c r="A171">
        <v>517</v>
      </c>
      <c r="B171" t="s">
        <v>18</v>
      </c>
      <c r="C171" s="1">
        <v>44029.609027777777</v>
      </c>
      <c r="D171">
        <v>26</v>
      </c>
      <c r="E171" t="s">
        <v>13</v>
      </c>
      <c r="F171">
        <v>6</v>
      </c>
      <c r="G171" t="s">
        <v>20</v>
      </c>
      <c r="H171">
        <v>94</v>
      </c>
      <c r="I171">
        <v>63</v>
      </c>
      <c r="J171">
        <v>4</v>
      </c>
      <c r="L171" t="s">
        <v>19</v>
      </c>
      <c r="O171">
        <v>440</v>
      </c>
    </row>
    <row r="172" spans="1:15" x14ac:dyDescent="0.45">
      <c r="A172">
        <v>440</v>
      </c>
      <c r="B172" t="s">
        <v>21</v>
      </c>
      <c r="C172" s="1">
        <v>43905.388194444444</v>
      </c>
      <c r="D172">
        <v>42</v>
      </c>
      <c r="E172" t="s">
        <v>13</v>
      </c>
      <c r="F172">
        <v>6</v>
      </c>
      <c r="G172" t="s">
        <v>14</v>
      </c>
      <c r="H172">
        <v>24</v>
      </c>
      <c r="I172">
        <v>12</v>
      </c>
      <c r="J172">
        <v>3</v>
      </c>
      <c r="K172" t="s">
        <v>15</v>
      </c>
      <c r="L172" t="s">
        <v>16</v>
      </c>
      <c r="O172">
        <v>448</v>
      </c>
    </row>
    <row r="173" spans="1:15" x14ac:dyDescent="0.45">
      <c r="A173">
        <v>448</v>
      </c>
      <c r="B173" t="s">
        <v>18</v>
      </c>
      <c r="C173" s="1">
        <v>44101.363194444442</v>
      </c>
      <c r="D173">
        <v>25</v>
      </c>
      <c r="E173" t="s">
        <v>13</v>
      </c>
      <c r="F173">
        <v>6</v>
      </c>
      <c r="G173" t="s">
        <v>14</v>
      </c>
      <c r="H173">
        <v>88</v>
      </c>
      <c r="I173">
        <v>55</v>
      </c>
      <c r="J173">
        <v>4</v>
      </c>
      <c r="L173" t="s">
        <v>19</v>
      </c>
      <c r="O173">
        <v>344</v>
      </c>
    </row>
    <row r="174" spans="1:15" x14ac:dyDescent="0.45">
      <c r="A174">
        <v>344</v>
      </c>
      <c r="B174" t="s">
        <v>21</v>
      </c>
      <c r="C174" s="1">
        <v>44041.536111111112</v>
      </c>
      <c r="D174">
        <v>50</v>
      </c>
      <c r="E174" t="s">
        <v>13</v>
      </c>
      <c r="F174">
        <v>6</v>
      </c>
      <c r="G174" t="s">
        <v>20</v>
      </c>
      <c r="H174">
        <v>20</v>
      </c>
      <c r="I174">
        <v>15.2</v>
      </c>
      <c r="J174">
        <v>3</v>
      </c>
      <c r="K174" t="s">
        <v>15</v>
      </c>
      <c r="L174" t="s">
        <v>16</v>
      </c>
      <c r="O174">
        <v>464</v>
      </c>
    </row>
    <row r="175" spans="1:15" x14ac:dyDescent="0.45">
      <c r="A175">
        <v>464</v>
      </c>
      <c r="B175" t="s">
        <v>21</v>
      </c>
      <c r="C175" s="1">
        <v>44073.375694444447</v>
      </c>
      <c r="D175">
        <v>19</v>
      </c>
      <c r="E175" t="s">
        <v>13</v>
      </c>
      <c r="F175">
        <v>6</v>
      </c>
      <c r="G175" t="s">
        <v>14</v>
      </c>
      <c r="H175">
        <v>53</v>
      </c>
      <c r="I175">
        <v>32</v>
      </c>
      <c r="J175">
        <v>4</v>
      </c>
      <c r="L175" t="s">
        <v>16</v>
      </c>
      <c r="O175">
        <v>185</v>
      </c>
    </row>
    <row r="176" spans="1:15" x14ac:dyDescent="0.45">
      <c r="A176">
        <v>185</v>
      </c>
      <c r="B176" t="s">
        <v>12</v>
      </c>
      <c r="C176" s="1">
        <v>43929.35833333333</v>
      </c>
      <c r="D176">
        <v>59</v>
      </c>
      <c r="E176" t="s">
        <v>13</v>
      </c>
      <c r="F176">
        <v>6</v>
      </c>
      <c r="G176" t="s">
        <v>14</v>
      </c>
      <c r="H176">
        <v>85</v>
      </c>
      <c r="I176">
        <v>40</v>
      </c>
      <c r="J176">
        <v>3</v>
      </c>
      <c r="K176" t="s">
        <v>15</v>
      </c>
      <c r="L176" t="s">
        <v>16</v>
      </c>
      <c r="O176">
        <v>584</v>
      </c>
    </row>
    <row r="177" spans="1:15" x14ac:dyDescent="0.45">
      <c r="A177">
        <v>584</v>
      </c>
      <c r="B177" t="s">
        <v>12</v>
      </c>
      <c r="C177" s="1">
        <v>44279.352083333331</v>
      </c>
      <c r="D177">
        <v>43</v>
      </c>
      <c r="E177" t="s">
        <v>13</v>
      </c>
      <c r="F177">
        <v>6</v>
      </c>
      <c r="G177" t="s">
        <v>14</v>
      </c>
      <c r="H177">
        <v>100</v>
      </c>
      <c r="I177">
        <v>46</v>
      </c>
      <c r="J177">
        <v>3</v>
      </c>
      <c r="K177" t="s">
        <v>15</v>
      </c>
      <c r="L177" t="s">
        <v>16</v>
      </c>
      <c r="O177">
        <v>187</v>
      </c>
    </row>
    <row r="178" spans="1:15" x14ac:dyDescent="0.45">
      <c r="A178">
        <v>187</v>
      </c>
      <c r="B178" t="s">
        <v>21</v>
      </c>
      <c r="C178" s="1">
        <v>44027.543055555558</v>
      </c>
      <c r="D178">
        <v>31</v>
      </c>
      <c r="E178" t="s">
        <v>13</v>
      </c>
      <c r="F178">
        <v>6</v>
      </c>
      <c r="G178" t="s">
        <v>14</v>
      </c>
      <c r="H178">
        <v>109</v>
      </c>
      <c r="I178">
        <v>44</v>
      </c>
      <c r="J178">
        <v>4</v>
      </c>
      <c r="K178" t="s">
        <v>15</v>
      </c>
      <c r="L178" t="s">
        <v>16</v>
      </c>
      <c r="O178">
        <v>566</v>
      </c>
    </row>
    <row r="179" spans="1:15" x14ac:dyDescent="0.45">
      <c r="A179">
        <v>566</v>
      </c>
      <c r="B179" t="s">
        <v>18</v>
      </c>
      <c r="C179" s="1">
        <v>44181.574999999997</v>
      </c>
      <c r="D179">
        <v>29</v>
      </c>
      <c r="E179" t="s">
        <v>13</v>
      </c>
      <c r="F179">
        <v>6</v>
      </c>
      <c r="G179" t="s">
        <v>14</v>
      </c>
      <c r="H179">
        <v>57</v>
      </c>
      <c r="I179">
        <v>20</v>
      </c>
      <c r="J179">
        <v>6</v>
      </c>
      <c r="K179" t="s">
        <v>23</v>
      </c>
      <c r="L179" t="s">
        <v>19</v>
      </c>
      <c r="O179">
        <v>467</v>
      </c>
    </row>
    <row r="180" spans="1:15" x14ac:dyDescent="0.45">
      <c r="A180">
        <v>467</v>
      </c>
      <c r="B180" t="s">
        <v>21</v>
      </c>
      <c r="C180" s="1">
        <v>44252.32916666667</v>
      </c>
      <c r="D180">
        <v>54</v>
      </c>
      <c r="E180" t="s">
        <v>13</v>
      </c>
      <c r="F180">
        <v>6</v>
      </c>
      <c r="G180" t="s">
        <v>17</v>
      </c>
      <c r="H180">
        <v>40</v>
      </c>
      <c r="I180">
        <v>17.8</v>
      </c>
      <c r="J180">
        <v>6</v>
      </c>
      <c r="K180" t="s">
        <v>15</v>
      </c>
      <c r="L180" t="s">
        <v>16</v>
      </c>
      <c r="O180">
        <v>81</v>
      </c>
    </row>
    <row r="181" spans="1:15" x14ac:dyDescent="0.45">
      <c r="A181">
        <v>81</v>
      </c>
      <c r="B181" t="s">
        <v>12</v>
      </c>
      <c r="C181" s="1">
        <v>44244.406944444447</v>
      </c>
      <c r="D181">
        <v>55</v>
      </c>
      <c r="E181" t="s">
        <v>13</v>
      </c>
      <c r="F181">
        <v>6</v>
      </c>
      <c r="G181" t="s">
        <v>14</v>
      </c>
      <c r="H181">
        <v>130</v>
      </c>
      <c r="I181">
        <v>60</v>
      </c>
      <c r="J181">
        <v>6</v>
      </c>
      <c r="K181" t="s">
        <v>15</v>
      </c>
      <c r="L181" t="s">
        <v>16</v>
      </c>
      <c r="O181">
        <v>230</v>
      </c>
    </row>
    <row r="182" spans="1:15" x14ac:dyDescent="0.45">
      <c r="A182">
        <v>230</v>
      </c>
      <c r="B182" t="s">
        <v>18</v>
      </c>
      <c r="C182" s="1">
        <v>44126.368055555555</v>
      </c>
      <c r="D182">
        <v>55</v>
      </c>
      <c r="E182" t="s">
        <v>13</v>
      </c>
      <c r="F182">
        <v>6</v>
      </c>
      <c r="G182" t="s">
        <v>20</v>
      </c>
      <c r="H182">
        <v>42</v>
      </c>
      <c r="I182">
        <v>23.6</v>
      </c>
      <c r="J182">
        <v>6</v>
      </c>
      <c r="K182" t="s">
        <v>15</v>
      </c>
      <c r="L182" t="s">
        <v>19</v>
      </c>
      <c r="O182">
        <v>282</v>
      </c>
    </row>
    <row r="183" spans="1:15" x14ac:dyDescent="0.45">
      <c r="A183">
        <v>282</v>
      </c>
      <c r="B183" t="s">
        <v>21</v>
      </c>
      <c r="C183" s="1">
        <v>44062.416666666664</v>
      </c>
      <c r="D183">
        <v>59</v>
      </c>
      <c r="E183" t="s">
        <v>13</v>
      </c>
      <c r="F183">
        <v>6</v>
      </c>
      <c r="G183" t="s">
        <v>20</v>
      </c>
      <c r="H183">
        <v>43</v>
      </c>
      <c r="I183">
        <v>26.1</v>
      </c>
      <c r="J183">
        <v>5</v>
      </c>
      <c r="K183" t="s">
        <v>22</v>
      </c>
      <c r="L183" t="s">
        <v>16</v>
      </c>
      <c r="O183">
        <v>201</v>
      </c>
    </row>
    <row r="184" spans="1:15" x14ac:dyDescent="0.45">
      <c r="A184">
        <v>201</v>
      </c>
      <c r="B184" t="s">
        <v>18</v>
      </c>
      <c r="C184" s="1">
        <v>44146.372916666667</v>
      </c>
      <c r="D184">
        <v>11</v>
      </c>
      <c r="E184" t="s">
        <v>13</v>
      </c>
      <c r="F184">
        <v>7</v>
      </c>
      <c r="G184" t="s">
        <v>14</v>
      </c>
      <c r="H184">
        <v>50</v>
      </c>
      <c r="I184">
        <v>25</v>
      </c>
      <c r="J184">
        <v>4</v>
      </c>
      <c r="K184" t="s">
        <v>15</v>
      </c>
      <c r="L184" t="s">
        <v>19</v>
      </c>
      <c r="O184">
        <v>590</v>
      </c>
    </row>
    <row r="185" spans="1:15" x14ac:dyDescent="0.45">
      <c r="A185">
        <v>590</v>
      </c>
      <c r="B185" t="s">
        <v>12</v>
      </c>
      <c r="C185" s="1">
        <v>44177.481944444444</v>
      </c>
      <c r="D185">
        <v>10</v>
      </c>
      <c r="E185" t="s">
        <v>13</v>
      </c>
      <c r="F185">
        <v>7</v>
      </c>
      <c r="G185" t="s">
        <v>17</v>
      </c>
      <c r="H185">
        <v>41.2</v>
      </c>
      <c r="I185">
        <v>18.8</v>
      </c>
      <c r="J185">
        <v>7</v>
      </c>
      <c r="K185" t="s">
        <v>15</v>
      </c>
      <c r="L185" t="s">
        <v>16</v>
      </c>
      <c r="O185">
        <v>30</v>
      </c>
    </row>
    <row r="186" spans="1:15" x14ac:dyDescent="0.45">
      <c r="A186">
        <v>30</v>
      </c>
      <c r="B186" t="s">
        <v>12</v>
      </c>
      <c r="C186" s="1">
        <v>44174.538888888892</v>
      </c>
      <c r="D186">
        <v>15</v>
      </c>
      <c r="E186" t="s">
        <v>13</v>
      </c>
      <c r="F186">
        <v>7</v>
      </c>
      <c r="G186" t="s">
        <v>20</v>
      </c>
      <c r="H186">
        <v>64</v>
      </c>
      <c r="I186">
        <v>41</v>
      </c>
      <c r="J186">
        <v>3</v>
      </c>
      <c r="K186" t="s">
        <v>15</v>
      </c>
      <c r="L186" t="s">
        <v>16</v>
      </c>
      <c r="O186">
        <v>102</v>
      </c>
    </row>
    <row r="187" spans="1:15" x14ac:dyDescent="0.45">
      <c r="A187">
        <v>102</v>
      </c>
      <c r="B187" t="s">
        <v>18</v>
      </c>
      <c r="C187" s="1">
        <v>44175.484722222223</v>
      </c>
      <c r="D187">
        <v>12</v>
      </c>
      <c r="E187" t="s">
        <v>13</v>
      </c>
      <c r="F187">
        <v>7</v>
      </c>
      <c r="G187" t="s">
        <v>17</v>
      </c>
      <c r="H187">
        <v>49.3</v>
      </c>
      <c r="I187">
        <v>24</v>
      </c>
      <c r="J187">
        <v>6</v>
      </c>
      <c r="K187" t="s">
        <v>15</v>
      </c>
      <c r="L187" t="s">
        <v>19</v>
      </c>
      <c r="O187">
        <v>141</v>
      </c>
    </row>
    <row r="188" spans="1:15" x14ac:dyDescent="0.45">
      <c r="A188">
        <v>141</v>
      </c>
      <c r="B188" t="s">
        <v>12</v>
      </c>
      <c r="C188" s="1">
        <v>44157.418055555558</v>
      </c>
      <c r="D188">
        <v>13</v>
      </c>
      <c r="E188" t="s">
        <v>13</v>
      </c>
      <c r="F188">
        <v>7</v>
      </c>
      <c r="G188" t="s">
        <v>17</v>
      </c>
      <c r="H188">
        <v>55.7</v>
      </c>
      <c r="I188">
        <v>24.3</v>
      </c>
      <c r="J188">
        <v>4</v>
      </c>
      <c r="K188" t="s">
        <v>15</v>
      </c>
      <c r="L188" t="s">
        <v>16</v>
      </c>
      <c r="O188">
        <v>403</v>
      </c>
    </row>
    <row r="189" spans="1:15" x14ac:dyDescent="0.45">
      <c r="A189">
        <v>403</v>
      </c>
      <c r="B189" t="s">
        <v>18</v>
      </c>
      <c r="C189" s="1">
        <v>44086.440972222219</v>
      </c>
      <c r="D189">
        <v>13</v>
      </c>
      <c r="E189" t="s">
        <v>13</v>
      </c>
      <c r="F189">
        <v>7</v>
      </c>
      <c r="G189" t="s">
        <v>17</v>
      </c>
      <c r="H189">
        <v>56.8</v>
      </c>
      <c r="I189">
        <v>23.6</v>
      </c>
      <c r="J189">
        <v>6</v>
      </c>
      <c r="K189" t="s">
        <v>15</v>
      </c>
      <c r="L189" t="s">
        <v>19</v>
      </c>
      <c r="O189">
        <v>255</v>
      </c>
    </row>
    <row r="190" spans="1:15" x14ac:dyDescent="0.45">
      <c r="A190">
        <v>255</v>
      </c>
      <c r="B190" t="s">
        <v>12</v>
      </c>
      <c r="C190" s="1">
        <v>44233.510416666664</v>
      </c>
      <c r="D190">
        <v>16</v>
      </c>
      <c r="E190" t="s">
        <v>13</v>
      </c>
      <c r="F190">
        <v>7</v>
      </c>
      <c r="G190" t="s">
        <v>17</v>
      </c>
      <c r="H190">
        <v>65</v>
      </c>
      <c r="I190">
        <v>33</v>
      </c>
      <c r="J190">
        <v>3</v>
      </c>
      <c r="K190" t="s">
        <v>15</v>
      </c>
      <c r="L190" t="s">
        <v>16</v>
      </c>
      <c r="O190">
        <v>567</v>
      </c>
    </row>
    <row r="191" spans="1:15" x14ac:dyDescent="0.45">
      <c r="A191">
        <v>567</v>
      </c>
      <c r="B191" t="s">
        <v>12</v>
      </c>
      <c r="C191" s="1">
        <v>43859.474999999999</v>
      </c>
      <c r="D191">
        <v>12</v>
      </c>
      <c r="E191" t="s">
        <v>13</v>
      </c>
      <c r="F191">
        <v>7</v>
      </c>
      <c r="G191" t="s">
        <v>14</v>
      </c>
      <c r="H191">
        <v>56.8</v>
      </c>
      <c r="I191">
        <v>27</v>
      </c>
      <c r="J191">
        <v>4</v>
      </c>
      <c r="K191" t="s">
        <v>15</v>
      </c>
      <c r="L191" t="s">
        <v>16</v>
      </c>
      <c r="O191">
        <v>320</v>
      </c>
    </row>
    <row r="192" spans="1:15" x14ac:dyDescent="0.45">
      <c r="A192">
        <v>320</v>
      </c>
      <c r="B192" t="s">
        <v>18</v>
      </c>
      <c r="C192" s="1">
        <v>44233.418055555558</v>
      </c>
      <c r="D192">
        <v>10</v>
      </c>
      <c r="E192" t="s">
        <v>13</v>
      </c>
      <c r="F192">
        <v>7</v>
      </c>
      <c r="G192" t="s">
        <v>14</v>
      </c>
      <c r="H192">
        <v>33</v>
      </c>
      <c r="I192">
        <v>22</v>
      </c>
      <c r="J192">
        <v>4</v>
      </c>
      <c r="K192" t="s">
        <v>15</v>
      </c>
      <c r="L192" t="s">
        <v>19</v>
      </c>
      <c r="O192">
        <v>504</v>
      </c>
    </row>
    <row r="193" spans="1:15" x14ac:dyDescent="0.45">
      <c r="A193">
        <v>504</v>
      </c>
      <c r="B193" t="s">
        <v>12</v>
      </c>
      <c r="C193" s="1">
        <v>44125.521527777775</v>
      </c>
      <c r="D193">
        <v>7</v>
      </c>
      <c r="E193" t="s">
        <v>13</v>
      </c>
      <c r="F193">
        <v>7</v>
      </c>
      <c r="G193" t="s">
        <v>17</v>
      </c>
      <c r="H193">
        <v>32.299999999999997</v>
      </c>
      <c r="I193">
        <v>15.1</v>
      </c>
      <c r="J193">
        <v>4</v>
      </c>
      <c r="K193" t="s">
        <v>15</v>
      </c>
      <c r="L193" t="s">
        <v>16</v>
      </c>
      <c r="O193">
        <v>279</v>
      </c>
    </row>
    <row r="194" spans="1:15" x14ac:dyDescent="0.45">
      <c r="A194">
        <v>279</v>
      </c>
      <c r="B194" t="s">
        <v>12</v>
      </c>
      <c r="C194" s="1">
        <v>44111.582638888889</v>
      </c>
      <c r="D194">
        <v>9</v>
      </c>
      <c r="E194" t="s">
        <v>13</v>
      </c>
      <c r="F194">
        <v>7</v>
      </c>
      <c r="G194" t="s">
        <v>14</v>
      </c>
      <c r="H194">
        <v>73</v>
      </c>
      <c r="I194">
        <v>22</v>
      </c>
      <c r="J194">
        <v>7</v>
      </c>
      <c r="K194" t="s">
        <v>15</v>
      </c>
      <c r="L194" t="s">
        <v>16</v>
      </c>
      <c r="O194">
        <v>13</v>
      </c>
    </row>
    <row r="195" spans="1:15" x14ac:dyDescent="0.45">
      <c r="A195">
        <v>13</v>
      </c>
      <c r="B195" t="s">
        <v>12</v>
      </c>
      <c r="C195" s="1">
        <v>44115.481944444444</v>
      </c>
      <c r="D195">
        <v>6</v>
      </c>
      <c r="E195" t="s">
        <v>13</v>
      </c>
      <c r="F195">
        <v>7</v>
      </c>
      <c r="G195" t="s">
        <v>14</v>
      </c>
      <c r="H195">
        <v>32</v>
      </c>
      <c r="I195">
        <v>14</v>
      </c>
      <c r="J195">
        <v>5</v>
      </c>
      <c r="K195" t="s">
        <v>15</v>
      </c>
      <c r="L195" t="s">
        <v>16</v>
      </c>
      <c r="O195">
        <v>3</v>
      </c>
    </row>
    <row r="196" spans="1:15" x14ac:dyDescent="0.45">
      <c r="A196">
        <v>3</v>
      </c>
      <c r="B196" t="s">
        <v>12</v>
      </c>
      <c r="C196" s="1">
        <v>44126.417361111111</v>
      </c>
      <c r="D196">
        <v>7</v>
      </c>
      <c r="E196" t="s">
        <v>13</v>
      </c>
      <c r="F196">
        <v>7</v>
      </c>
      <c r="G196" t="s">
        <v>17</v>
      </c>
      <c r="H196">
        <v>14.9</v>
      </c>
      <c r="I196">
        <v>6.8</v>
      </c>
      <c r="J196">
        <v>5</v>
      </c>
      <c r="K196" t="s">
        <v>15</v>
      </c>
      <c r="L196" t="s">
        <v>16</v>
      </c>
      <c r="O196">
        <v>15</v>
      </c>
    </row>
    <row r="197" spans="1:15" x14ac:dyDescent="0.45">
      <c r="A197">
        <v>15</v>
      </c>
      <c r="B197" t="s">
        <v>18</v>
      </c>
      <c r="C197" s="1">
        <v>44231.379166666666</v>
      </c>
      <c r="D197">
        <v>11</v>
      </c>
      <c r="E197" t="s">
        <v>13</v>
      </c>
      <c r="F197">
        <v>7</v>
      </c>
      <c r="G197" t="s">
        <v>14</v>
      </c>
      <c r="H197">
        <v>34</v>
      </c>
      <c r="I197">
        <v>16</v>
      </c>
      <c r="J197">
        <v>5</v>
      </c>
      <c r="K197" t="s">
        <v>15</v>
      </c>
      <c r="L197" t="s">
        <v>19</v>
      </c>
      <c r="O197">
        <v>144</v>
      </c>
    </row>
    <row r="198" spans="1:15" x14ac:dyDescent="0.45">
      <c r="A198">
        <v>144</v>
      </c>
      <c r="B198" t="s">
        <v>21</v>
      </c>
      <c r="C198" s="1">
        <v>44169.416666666664</v>
      </c>
      <c r="D198">
        <v>18</v>
      </c>
      <c r="E198" t="s">
        <v>13</v>
      </c>
      <c r="F198">
        <v>7</v>
      </c>
      <c r="G198" t="s">
        <v>14</v>
      </c>
      <c r="H198">
        <v>59</v>
      </c>
      <c r="I198">
        <v>26</v>
      </c>
      <c r="J198">
        <v>3</v>
      </c>
      <c r="K198" t="s">
        <v>15</v>
      </c>
      <c r="L198" t="s">
        <v>16</v>
      </c>
      <c r="O198">
        <v>510</v>
      </c>
    </row>
    <row r="199" spans="1:15" x14ac:dyDescent="0.45">
      <c r="A199">
        <v>510</v>
      </c>
      <c r="B199" t="s">
        <v>21</v>
      </c>
      <c r="C199" s="1">
        <v>44213.38958333333</v>
      </c>
      <c r="D199">
        <v>18</v>
      </c>
      <c r="E199" t="s">
        <v>13</v>
      </c>
      <c r="F199">
        <v>7</v>
      </c>
      <c r="G199" t="s">
        <v>14</v>
      </c>
      <c r="H199">
        <v>112</v>
      </c>
      <c r="I199">
        <v>50</v>
      </c>
      <c r="J199">
        <v>4</v>
      </c>
      <c r="K199" t="s">
        <v>15</v>
      </c>
      <c r="L199" t="s">
        <v>16</v>
      </c>
      <c r="O199">
        <v>512</v>
      </c>
    </row>
    <row r="200" spans="1:15" x14ac:dyDescent="0.45">
      <c r="A200">
        <v>512</v>
      </c>
      <c r="B200" t="s">
        <v>21</v>
      </c>
      <c r="C200" s="1">
        <v>44285.456944444442</v>
      </c>
      <c r="D200">
        <v>18</v>
      </c>
      <c r="E200" t="s">
        <v>13</v>
      </c>
      <c r="F200">
        <v>7</v>
      </c>
      <c r="G200" t="s">
        <v>20</v>
      </c>
      <c r="H200">
        <v>42.7</v>
      </c>
      <c r="I200">
        <v>29.9</v>
      </c>
      <c r="J200">
        <v>5</v>
      </c>
      <c r="L200" t="s">
        <v>16</v>
      </c>
      <c r="O200">
        <v>560</v>
      </c>
    </row>
    <row r="201" spans="1:15" x14ac:dyDescent="0.45">
      <c r="A201">
        <v>560</v>
      </c>
      <c r="B201" t="s">
        <v>12</v>
      </c>
      <c r="C201" s="1">
        <v>44157.522916666669</v>
      </c>
      <c r="D201">
        <v>19</v>
      </c>
      <c r="E201" t="s">
        <v>13</v>
      </c>
      <c r="F201">
        <v>7</v>
      </c>
      <c r="G201" t="s">
        <v>14</v>
      </c>
      <c r="H201">
        <v>73</v>
      </c>
      <c r="I201">
        <v>28</v>
      </c>
      <c r="J201">
        <v>5</v>
      </c>
      <c r="K201" t="s">
        <v>15</v>
      </c>
      <c r="L201" t="s">
        <v>16</v>
      </c>
      <c r="O201">
        <v>295</v>
      </c>
    </row>
    <row r="202" spans="1:15" x14ac:dyDescent="0.45">
      <c r="A202">
        <v>295</v>
      </c>
      <c r="B202" t="s">
        <v>12</v>
      </c>
      <c r="C202" s="1">
        <v>44118.397916666669</v>
      </c>
      <c r="D202">
        <v>8</v>
      </c>
      <c r="E202" t="s">
        <v>13</v>
      </c>
      <c r="F202">
        <v>9</v>
      </c>
      <c r="G202" t="s">
        <v>17</v>
      </c>
      <c r="H202">
        <v>25</v>
      </c>
      <c r="I202">
        <v>8.6</v>
      </c>
      <c r="J202">
        <v>4</v>
      </c>
      <c r="K202" t="s">
        <v>15</v>
      </c>
      <c r="L202" t="s">
        <v>16</v>
      </c>
      <c r="O202">
        <v>216</v>
      </c>
    </row>
    <row r="203" spans="1:15" x14ac:dyDescent="0.45">
      <c r="A203">
        <v>216</v>
      </c>
      <c r="B203" t="s">
        <v>18</v>
      </c>
      <c r="C203" s="1">
        <v>44034.445138888892</v>
      </c>
      <c r="D203">
        <v>12</v>
      </c>
      <c r="E203" t="s">
        <v>13</v>
      </c>
      <c r="F203">
        <v>9</v>
      </c>
      <c r="G203" t="s">
        <v>17</v>
      </c>
      <c r="H203">
        <v>32.700000000000003</v>
      </c>
      <c r="I203">
        <v>12.9</v>
      </c>
      <c r="J203">
        <v>4</v>
      </c>
      <c r="K203" t="s">
        <v>15</v>
      </c>
      <c r="L203" t="s">
        <v>19</v>
      </c>
      <c r="O203">
        <v>209</v>
      </c>
    </row>
    <row r="204" spans="1:15" x14ac:dyDescent="0.45">
      <c r="A204">
        <v>209</v>
      </c>
      <c r="B204" t="s">
        <v>12</v>
      </c>
      <c r="C204" s="1">
        <v>44195.414583333331</v>
      </c>
      <c r="D204">
        <v>7</v>
      </c>
      <c r="E204" t="s">
        <v>13</v>
      </c>
      <c r="F204">
        <v>9</v>
      </c>
      <c r="G204" t="s">
        <v>14</v>
      </c>
      <c r="H204">
        <v>21</v>
      </c>
      <c r="I204">
        <v>6</v>
      </c>
      <c r="J204">
        <v>5</v>
      </c>
      <c r="K204" t="s">
        <v>15</v>
      </c>
      <c r="L204" t="s">
        <v>16</v>
      </c>
      <c r="O204">
        <v>31</v>
      </c>
    </row>
    <row r="205" spans="1:15" x14ac:dyDescent="0.45">
      <c r="A205">
        <v>31</v>
      </c>
      <c r="B205" t="s">
        <v>12</v>
      </c>
      <c r="C205" s="1">
        <v>43958.486111111109</v>
      </c>
      <c r="D205">
        <v>10</v>
      </c>
      <c r="E205" t="s">
        <v>13</v>
      </c>
      <c r="F205">
        <v>9</v>
      </c>
      <c r="G205" t="s">
        <v>17</v>
      </c>
      <c r="H205">
        <v>55.1</v>
      </c>
      <c r="I205">
        <v>23</v>
      </c>
      <c r="J205">
        <v>5</v>
      </c>
      <c r="K205" t="s">
        <v>15</v>
      </c>
      <c r="L205" t="s">
        <v>16</v>
      </c>
      <c r="O205">
        <v>261</v>
      </c>
    </row>
    <row r="206" spans="1:15" x14ac:dyDescent="0.45">
      <c r="A206">
        <v>261</v>
      </c>
      <c r="B206" t="s">
        <v>12</v>
      </c>
      <c r="C206" s="1">
        <v>44208.324305555558</v>
      </c>
      <c r="D206">
        <v>14</v>
      </c>
      <c r="E206" t="s">
        <v>13</v>
      </c>
      <c r="F206">
        <v>9</v>
      </c>
      <c r="G206" t="s">
        <v>14</v>
      </c>
      <c r="H206">
        <v>102</v>
      </c>
      <c r="I206">
        <v>40</v>
      </c>
      <c r="J206">
        <v>6</v>
      </c>
      <c r="K206" t="s">
        <v>15</v>
      </c>
      <c r="L206" t="s">
        <v>16</v>
      </c>
      <c r="O206">
        <v>46</v>
      </c>
    </row>
    <row r="207" spans="1:15" x14ac:dyDescent="0.45">
      <c r="A207">
        <v>46</v>
      </c>
      <c r="B207" t="s">
        <v>18</v>
      </c>
      <c r="C207" s="1">
        <v>44197.40625</v>
      </c>
      <c r="D207">
        <v>16</v>
      </c>
      <c r="E207" t="s">
        <v>13</v>
      </c>
      <c r="F207">
        <v>9</v>
      </c>
      <c r="G207" t="s">
        <v>14</v>
      </c>
      <c r="H207">
        <v>30</v>
      </c>
      <c r="I207">
        <v>5</v>
      </c>
      <c r="J207">
        <v>3</v>
      </c>
      <c r="K207" t="s">
        <v>15</v>
      </c>
      <c r="L207" t="s">
        <v>19</v>
      </c>
      <c r="O207">
        <v>543</v>
      </c>
    </row>
    <row r="208" spans="1:15" x14ac:dyDescent="0.45">
      <c r="A208">
        <v>543</v>
      </c>
      <c r="B208" t="s">
        <v>12</v>
      </c>
      <c r="C208" s="1">
        <v>44183.405555555553</v>
      </c>
      <c r="D208">
        <v>6</v>
      </c>
      <c r="E208" t="s">
        <v>13</v>
      </c>
      <c r="F208">
        <v>9</v>
      </c>
      <c r="G208" t="s">
        <v>17</v>
      </c>
      <c r="H208">
        <v>19.399999999999999</v>
      </c>
      <c r="I208">
        <v>10.9</v>
      </c>
      <c r="J208">
        <v>9</v>
      </c>
      <c r="K208" t="s">
        <v>15</v>
      </c>
      <c r="L208" t="s">
        <v>16</v>
      </c>
      <c r="O208">
        <v>120</v>
      </c>
    </row>
    <row r="209" spans="1:15" x14ac:dyDescent="0.45">
      <c r="A209">
        <v>120</v>
      </c>
      <c r="B209" t="s">
        <v>18</v>
      </c>
      <c r="C209" s="1">
        <v>43921.495833333334</v>
      </c>
      <c r="D209">
        <v>14</v>
      </c>
      <c r="E209" t="s">
        <v>13</v>
      </c>
      <c r="F209">
        <v>9</v>
      </c>
      <c r="G209" t="s">
        <v>14</v>
      </c>
      <c r="H209">
        <v>65</v>
      </c>
      <c r="I209">
        <v>20</v>
      </c>
      <c r="J209">
        <v>4</v>
      </c>
      <c r="K209" t="s">
        <v>15</v>
      </c>
      <c r="L209" t="s">
        <v>19</v>
      </c>
      <c r="O209">
        <v>287</v>
      </c>
    </row>
    <row r="210" spans="1:15" x14ac:dyDescent="0.45">
      <c r="A210">
        <v>287</v>
      </c>
      <c r="B210" t="s">
        <v>18</v>
      </c>
      <c r="C210" s="1">
        <v>43929.362500000003</v>
      </c>
      <c r="D210">
        <v>11</v>
      </c>
      <c r="E210" t="s">
        <v>13</v>
      </c>
      <c r="F210">
        <v>9</v>
      </c>
      <c r="G210" t="s">
        <v>14</v>
      </c>
      <c r="H210">
        <v>102</v>
      </c>
      <c r="I210">
        <v>40</v>
      </c>
      <c r="J210">
        <v>5</v>
      </c>
      <c r="K210" t="s">
        <v>15</v>
      </c>
      <c r="L210" t="s">
        <v>19</v>
      </c>
      <c r="O210">
        <v>548</v>
      </c>
    </row>
    <row r="211" spans="1:15" x14ac:dyDescent="0.45">
      <c r="A211">
        <v>548</v>
      </c>
      <c r="B211" t="s">
        <v>12</v>
      </c>
      <c r="C211" s="1">
        <v>44285.334027777775</v>
      </c>
      <c r="D211">
        <v>9</v>
      </c>
      <c r="E211" t="s">
        <v>13</v>
      </c>
      <c r="F211">
        <v>9</v>
      </c>
      <c r="G211" t="s">
        <v>14</v>
      </c>
      <c r="H211">
        <v>31</v>
      </c>
      <c r="I211">
        <v>12</v>
      </c>
      <c r="J211">
        <v>4</v>
      </c>
      <c r="K211" t="s">
        <v>15</v>
      </c>
      <c r="L211" t="s">
        <v>16</v>
      </c>
      <c r="O211">
        <v>23</v>
      </c>
    </row>
    <row r="212" spans="1:15" x14ac:dyDescent="0.45">
      <c r="A212">
        <v>23</v>
      </c>
      <c r="B212" t="s">
        <v>12</v>
      </c>
      <c r="C212" s="1">
        <v>44102.35833333333</v>
      </c>
      <c r="D212">
        <v>11</v>
      </c>
      <c r="E212" t="s">
        <v>13</v>
      </c>
      <c r="F212">
        <v>9</v>
      </c>
      <c r="G212" t="s">
        <v>14</v>
      </c>
      <c r="H212">
        <v>33</v>
      </c>
      <c r="I212">
        <v>10</v>
      </c>
      <c r="J212">
        <v>4</v>
      </c>
      <c r="K212" t="s">
        <v>15</v>
      </c>
      <c r="L212" t="s">
        <v>16</v>
      </c>
      <c r="O212">
        <v>586</v>
      </c>
    </row>
    <row r="213" spans="1:15" x14ac:dyDescent="0.45">
      <c r="A213">
        <v>586</v>
      </c>
      <c r="B213" t="s">
        <v>12</v>
      </c>
      <c r="C213" s="1">
        <v>44017.50277777778</v>
      </c>
      <c r="D213">
        <v>8</v>
      </c>
      <c r="E213" t="s">
        <v>13</v>
      </c>
      <c r="F213">
        <v>9</v>
      </c>
      <c r="G213" t="s">
        <v>17</v>
      </c>
      <c r="H213">
        <v>24.3</v>
      </c>
      <c r="I213">
        <v>13.8</v>
      </c>
      <c r="J213">
        <v>8</v>
      </c>
      <c r="K213" t="s">
        <v>15</v>
      </c>
      <c r="L213" t="s">
        <v>16</v>
      </c>
      <c r="O213">
        <v>218</v>
      </c>
    </row>
    <row r="214" spans="1:15" x14ac:dyDescent="0.45">
      <c r="A214">
        <v>218</v>
      </c>
      <c r="B214" t="s">
        <v>21</v>
      </c>
      <c r="C214" s="1">
        <v>44163.809027777781</v>
      </c>
      <c r="D214">
        <v>50</v>
      </c>
      <c r="E214" t="s">
        <v>13</v>
      </c>
      <c r="F214">
        <v>3</v>
      </c>
      <c r="G214" t="s">
        <v>20</v>
      </c>
      <c r="H214">
        <v>93.6</v>
      </c>
      <c r="I214">
        <v>60</v>
      </c>
      <c r="J214">
        <v>4</v>
      </c>
      <c r="K214" t="s">
        <v>15</v>
      </c>
      <c r="L214" t="s">
        <v>16</v>
      </c>
      <c r="O214">
        <v>240</v>
      </c>
    </row>
    <row r="215" spans="1:15" x14ac:dyDescent="0.45">
      <c r="A215">
        <v>240</v>
      </c>
      <c r="B215" t="s">
        <v>21</v>
      </c>
      <c r="C215" s="1">
        <v>44312.604166666664</v>
      </c>
      <c r="D215">
        <v>51</v>
      </c>
      <c r="E215" t="s">
        <v>13</v>
      </c>
      <c r="F215">
        <v>3</v>
      </c>
      <c r="G215" t="s">
        <v>14</v>
      </c>
      <c r="H215">
        <v>51</v>
      </c>
      <c r="I215">
        <v>21</v>
      </c>
      <c r="J215">
        <v>4</v>
      </c>
      <c r="K215" t="s">
        <v>15</v>
      </c>
      <c r="L215" t="s">
        <v>16</v>
      </c>
      <c r="O215">
        <v>514</v>
      </c>
    </row>
    <row r="216" spans="1:15" x14ac:dyDescent="0.45">
      <c r="A216">
        <v>514</v>
      </c>
      <c r="B216" t="s">
        <v>21</v>
      </c>
      <c r="C216" s="1">
        <v>44229.464583333334</v>
      </c>
      <c r="D216">
        <v>36</v>
      </c>
      <c r="E216" t="s">
        <v>13</v>
      </c>
      <c r="F216">
        <v>3</v>
      </c>
      <c r="G216" t="s">
        <v>14</v>
      </c>
      <c r="H216">
        <v>53</v>
      </c>
      <c r="I216">
        <v>23</v>
      </c>
      <c r="J216">
        <v>5</v>
      </c>
      <c r="K216" t="s">
        <v>15</v>
      </c>
      <c r="L216" t="s">
        <v>16</v>
      </c>
      <c r="O216">
        <v>251</v>
      </c>
    </row>
    <row r="217" spans="1:15" x14ac:dyDescent="0.45">
      <c r="A217">
        <v>251</v>
      </c>
      <c r="B217" t="s">
        <v>18</v>
      </c>
      <c r="C217" s="1">
        <v>44245.46875</v>
      </c>
      <c r="D217">
        <v>42</v>
      </c>
      <c r="E217" t="s">
        <v>13</v>
      </c>
      <c r="F217">
        <v>3</v>
      </c>
      <c r="G217" t="s">
        <v>14</v>
      </c>
      <c r="H217">
        <v>37</v>
      </c>
      <c r="I217">
        <v>25</v>
      </c>
      <c r="J217">
        <v>3</v>
      </c>
      <c r="L217" t="s">
        <v>19</v>
      </c>
      <c r="O217">
        <v>158</v>
      </c>
    </row>
    <row r="218" spans="1:15" x14ac:dyDescent="0.45">
      <c r="A218">
        <v>158</v>
      </c>
      <c r="B218" t="s">
        <v>12</v>
      </c>
      <c r="C218" s="1">
        <v>44130.533333333333</v>
      </c>
      <c r="D218">
        <v>69</v>
      </c>
      <c r="E218" t="s">
        <v>13</v>
      </c>
      <c r="F218">
        <v>3</v>
      </c>
      <c r="G218" t="s">
        <v>20</v>
      </c>
      <c r="H218">
        <v>60.6</v>
      </c>
      <c r="I218">
        <v>19</v>
      </c>
      <c r="J218">
        <v>4</v>
      </c>
      <c r="K218" t="s">
        <v>15</v>
      </c>
      <c r="L218" t="s">
        <v>16</v>
      </c>
      <c r="O218">
        <v>188</v>
      </c>
    </row>
    <row r="219" spans="1:15" x14ac:dyDescent="0.45">
      <c r="A219">
        <v>188</v>
      </c>
      <c r="B219" t="s">
        <v>21</v>
      </c>
      <c r="C219" s="1">
        <v>44234.612500000003</v>
      </c>
      <c r="D219">
        <v>31</v>
      </c>
      <c r="E219" t="s">
        <v>13</v>
      </c>
      <c r="F219">
        <v>3</v>
      </c>
      <c r="G219" t="s">
        <v>14</v>
      </c>
      <c r="H219">
        <v>75</v>
      </c>
      <c r="I219">
        <v>35</v>
      </c>
      <c r="J219">
        <v>4</v>
      </c>
      <c r="K219" t="s">
        <v>15</v>
      </c>
      <c r="L219" t="s">
        <v>16</v>
      </c>
      <c r="O219">
        <v>49</v>
      </c>
    </row>
    <row r="220" spans="1:15" x14ac:dyDescent="0.45">
      <c r="A220">
        <v>49</v>
      </c>
      <c r="B220" t="s">
        <v>18</v>
      </c>
      <c r="C220" s="1">
        <v>44201.613888888889</v>
      </c>
      <c r="D220">
        <v>33</v>
      </c>
      <c r="E220" t="s">
        <v>13</v>
      </c>
      <c r="F220">
        <v>3</v>
      </c>
      <c r="G220" t="s">
        <v>20</v>
      </c>
      <c r="H220">
        <v>63.3</v>
      </c>
      <c r="I220">
        <v>27.2</v>
      </c>
      <c r="J220">
        <v>3</v>
      </c>
      <c r="K220" t="s">
        <v>15</v>
      </c>
      <c r="L220" t="s">
        <v>19</v>
      </c>
      <c r="O220">
        <v>300</v>
      </c>
    </row>
    <row r="221" spans="1:15" x14ac:dyDescent="0.45">
      <c r="A221">
        <v>300</v>
      </c>
      <c r="B221" t="s">
        <v>12</v>
      </c>
      <c r="C221" s="1">
        <v>44065.605555555558</v>
      </c>
      <c r="D221">
        <v>48</v>
      </c>
      <c r="E221" t="s">
        <v>13</v>
      </c>
      <c r="F221">
        <v>3</v>
      </c>
      <c r="G221" t="s">
        <v>20</v>
      </c>
      <c r="H221">
        <v>60.2</v>
      </c>
      <c r="I221">
        <v>40.200000000000003</v>
      </c>
      <c r="J221">
        <v>5</v>
      </c>
      <c r="K221" t="s">
        <v>15</v>
      </c>
      <c r="L221" t="s">
        <v>16</v>
      </c>
      <c r="O221">
        <v>313</v>
      </c>
    </row>
    <row r="222" spans="1:15" x14ac:dyDescent="0.45">
      <c r="A222">
        <v>313</v>
      </c>
      <c r="B222" t="s">
        <v>21</v>
      </c>
      <c r="C222" s="1">
        <v>44049.669444444444</v>
      </c>
      <c r="D222">
        <v>27</v>
      </c>
      <c r="E222" t="s">
        <v>13</v>
      </c>
      <c r="F222">
        <v>3</v>
      </c>
      <c r="G222" t="s">
        <v>14</v>
      </c>
      <c r="H222">
        <v>60</v>
      </c>
      <c r="I222">
        <v>25</v>
      </c>
      <c r="J222">
        <v>3</v>
      </c>
      <c r="L222" t="s">
        <v>16</v>
      </c>
      <c r="O222">
        <v>502</v>
      </c>
    </row>
    <row r="223" spans="1:15" x14ac:dyDescent="0.45">
      <c r="A223">
        <v>502</v>
      </c>
      <c r="B223" t="s">
        <v>21</v>
      </c>
      <c r="C223" s="1">
        <v>44068.699305555558</v>
      </c>
      <c r="D223">
        <v>24</v>
      </c>
      <c r="E223" t="s">
        <v>13</v>
      </c>
      <c r="F223">
        <v>3</v>
      </c>
      <c r="G223" t="s">
        <v>20</v>
      </c>
      <c r="H223">
        <v>66.8</v>
      </c>
      <c r="I223">
        <v>32</v>
      </c>
      <c r="L223" t="s">
        <v>16</v>
      </c>
      <c r="O223">
        <v>135</v>
      </c>
    </row>
    <row r="224" spans="1:15" x14ac:dyDescent="0.45">
      <c r="A224">
        <v>135</v>
      </c>
      <c r="B224" t="s">
        <v>21</v>
      </c>
      <c r="C224" s="1">
        <v>43894.500694444447</v>
      </c>
      <c r="D224">
        <v>21</v>
      </c>
      <c r="E224" t="s">
        <v>13</v>
      </c>
      <c r="F224">
        <v>3</v>
      </c>
      <c r="G224" t="s">
        <v>14</v>
      </c>
      <c r="H224">
        <v>56</v>
      </c>
      <c r="I224">
        <v>35</v>
      </c>
      <c r="J224">
        <v>3</v>
      </c>
      <c r="L224" t="s">
        <v>16</v>
      </c>
      <c r="O224">
        <v>233</v>
      </c>
    </row>
    <row r="225" spans="1:15" x14ac:dyDescent="0.45">
      <c r="A225">
        <v>233</v>
      </c>
      <c r="B225" t="s">
        <v>12</v>
      </c>
      <c r="C225" s="1">
        <v>44257.615277777775</v>
      </c>
      <c r="D225">
        <v>32</v>
      </c>
      <c r="E225" t="s">
        <v>13</v>
      </c>
      <c r="F225">
        <v>3</v>
      </c>
      <c r="G225" t="s">
        <v>14</v>
      </c>
      <c r="H225">
        <v>64</v>
      </c>
      <c r="I225">
        <v>32</v>
      </c>
      <c r="J225">
        <v>7</v>
      </c>
      <c r="K225" t="s">
        <v>15</v>
      </c>
      <c r="L225" t="s">
        <v>16</v>
      </c>
      <c r="O225">
        <v>597</v>
      </c>
    </row>
    <row r="226" spans="1:15" x14ac:dyDescent="0.45">
      <c r="A226">
        <v>597</v>
      </c>
      <c r="B226" t="s">
        <v>12</v>
      </c>
      <c r="C226" s="1">
        <v>44109.615972222222</v>
      </c>
      <c r="D226">
        <v>23</v>
      </c>
      <c r="E226" t="s">
        <v>13</v>
      </c>
      <c r="F226">
        <v>3</v>
      </c>
      <c r="G226" t="s">
        <v>14</v>
      </c>
      <c r="H226">
        <v>60</v>
      </c>
      <c r="I226">
        <v>34</v>
      </c>
      <c r="J226">
        <v>4</v>
      </c>
      <c r="L226" t="s">
        <v>16</v>
      </c>
      <c r="O226">
        <v>490</v>
      </c>
    </row>
    <row r="227" spans="1:15" x14ac:dyDescent="0.45">
      <c r="A227">
        <v>490</v>
      </c>
      <c r="B227" t="s">
        <v>12</v>
      </c>
      <c r="C227" s="1">
        <v>44074.46875</v>
      </c>
      <c r="D227">
        <v>37</v>
      </c>
      <c r="E227" t="s">
        <v>13</v>
      </c>
      <c r="F227">
        <v>3</v>
      </c>
      <c r="G227" t="s">
        <v>20</v>
      </c>
      <c r="H227">
        <v>54</v>
      </c>
      <c r="I227">
        <v>36</v>
      </c>
      <c r="J227">
        <v>3</v>
      </c>
      <c r="L227" t="s">
        <v>16</v>
      </c>
      <c r="O227">
        <v>532</v>
      </c>
    </row>
    <row r="228" spans="1:15" x14ac:dyDescent="0.45">
      <c r="A228">
        <v>532</v>
      </c>
      <c r="B228" t="s">
        <v>18</v>
      </c>
      <c r="C228" s="1">
        <v>44125.625</v>
      </c>
      <c r="D228">
        <v>21</v>
      </c>
      <c r="E228" t="s">
        <v>13</v>
      </c>
      <c r="F228">
        <v>3</v>
      </c>
      <c r="G228" t="s">
        <v>14</v>
      </c>
      <c r="H228">
        <v>55</v>
      </c>
      <c r="I228">
        <v>25</v>
      </c>
      <c r="J228">
        <v>3</v>
      </c>
      <c r="K228" t="s">
        <v>15</v>
      </c>
      <c r="L228" t="s">
        <v>19</v>
      </c>
      <c r="O228">
        <v>57</v>
      </c>
    </row>
    <row r="229" spans="1:15" x14ac:dyDescent="0.45">
      <c r="A229">
        <v>57</v>
      </c>
      <c r="B229" t="s">
        <v>12</v>
      </c>
      <c r="C229" s="1">
        <v>44184.64166666667</v>
      </c>
      <c r="D229">
        <v>50</v>
      </c>
      <c r="E229" t="s">
        <v>13</v>
      </c>
      <c r="F229">
        <v>3</v>
      </c>
      <c r="G229" t="s">
        <v>20</v>
      </c>
      <c r="H229">
        <v>49.7</v>
      </c>
      <c r="I229">
        <v>24</v>
      </c>
      <c r="J229">
        <v>4</v>
      </c>
      <c r="K229" t="s">
        <v>22</v>
      </c>
      <c r="L229" t="s">
        <v>16</v>
      </c>
      <c r="O229">
        <v>273</v>
      </c>
    </row>
    <row r="230" spans="1:15" x14ac:dyDescent="0.45">
      <c r="A230">
        <v>273</v>
      </c>
      <c r="B230" t="s">
        <v>12</v>
      </c>
      <c r="C230" s="1">
        <v>44203.479166666664</v>
      </c>
      <c r="D230">
        <v>19</v>
      </c>
      <c r="E230" t="s">
        <v>13</v>
      </c>
      <c r="F230">
        <v>3</v>
      </c>
      <c r="G230" t="s">
        <v>17</v>
      </c>
      <c r="H230">
        <v>48</v>
      </c>
      <c r="I230">
        <v>18.399999999999999</v>
      </c>
      <c r="J230">
        <v>3</v>
      </c>
      <c r="L230" t="s">
        <v>16</v>
      </c>
      <c r="O230">
        <v>424</v>
      </c>
    </row>
    <row r="231" spans="1:15" x14ac:dyDescent="0.45">
      <c r="A231">
        <v>424</v>
      </c>
      <c r="B231" t="s">
        <v>12</v>
      </c>
      <c r="C231" s="1">
        <v>44269.600694444445</v>
      </c>
      <c r="D231">
        <v>30</v>
      </c>
      <c r="E231" t="s">
        <v>13</v>
      </c>
      <c r="F231">
        <v>3</v>
      </c>
      <c r="G231" t="s">
        <v>14</v>
      </c>
      <c r="H231">
        <v>27</v>
      </c>
      <c r="I231">
        <v>12</v>
      </c>
      <c r="J231">
        <v>3</v>
      </c>
      <c r="L231" t="s">
        <v>16</v>
      </c>
      <c r="O231">
        <v>260</v>
      </c>
    </row>
    <row r="232" spans="1:15" x14ac:dyDescent="0.45">
      <c r="A232">
        <v>260</v>
      </c>
      <c r="B232" t="s">
        <v>21</v>
      </c>
      <c r="C232" s="1">
        <v>44286.666666666664</v>
      </c>
      <c r="D232">
        <v>53</v>
      </c>
      <c r="E232" t="s">
        <v>13</v>
      </c>
      <c r="F232">
        <v>3</v>
      </c>
      <c r="G232" t="s">
        <v>17</v>
      </c>
      <c r="H232">
        <v>30</v>
      </c>
      <c r="I232">
        <v>22</v>
      </c>
      <c r="J232">
        <v>2</v>
      </c>
      <c r="K232" t="s">
        <v>15</v>
      </c>
      <c r="L232" t="s">
        <v>16</v>
      </c>
      <c r="O232">
        <v>178</v>
      </c>
    </row>
    <row r="233" spans="1:15" x14ac:dyDescent="0.45">
      <c r="A233">
        <v>178</v>
      </c>
      <c r="B233" t="s">
        <v>12</v>
      </c>
      <c r="C233" s="1">
        <v>44128.601388888892</v>
      </c>
      <c r="D233">
        <v>12</v>
      </c>
      <c r="E233" t="s">
        <v>13</v>
      </c>
      <c r="F233">
        <v>11</v>
      </c>
      <c r="G233" t="s">
        <v>17</v>
      </c>
      <c r="H233">
        <v>61.5</v>
      </c>
      <c r="I233">
        <v>21.6</v>
      </c>
      <c r="J233">
        <v>5</v>
      </c>
      <c r="K233" t="s">
        <v>15</v>
      </c>
      <c r="L233" t="s">
        <v>16</v>
      </c>
      <c r="O233">
        <v>371</v>
      </c>
    </row>
    <row r="234" spans="1:15" x14ac:dyDescent="0.45">
      <c r="A234">
        <v>371</v>
      </c>
      <c r="B234" t="s">
        <v>12</v>
      </c>
      <c r="C234" s="1">
        <v>44267.589583333334</v>
      </c>
      <c r="D234">
        <v>14</v>
      </c>
      <c r="E234" t="s">
        <v>13</v>
      </c>
      <c r="F234">
        <v>11</v>
      </c>
      <c r="G234" t="s">
        <v>17</v>
      </c>
      <c r="H234">
        <v>63.9</v>
      </c>
      <c r="I234">
        <v>21</v>
      </c>
      <c r="J234">
        <v>3</v>
      </c>
      <c r="K234" t="s">
        <v>15</v>
      </c>
      <c r="L234" t="s">
        <v>16</v>
      </c>
      <c r="O234">
        <v>253</v>
      </c>
    </row>
    <row r="235" spans="1:15" x14ac:dyDescent="0.45">
      <c r="A235">
        <v>253</v>
      </c>
      <c r="B235" t="s">
        <v>18</v>
      </c>
      <c r="C235" s="1">
        <v>44149.387499999997</v>
      </c>
      <c r="D235">
        <v>7</v>
      </c>
      <c r="E235" t="s">
        <v>13</v>
      </c>
      <c r="F235">
        <v>11</v>
      </c>
      <c r="G235" t="s">
        <v>14</v>
      </c>
      <c r="H235">
        <v>27</v>
      </c>
      <c r="I235">
        <v>11</v>
      </c>
      <c r="J235">
        <v>4</v>
      </c>
      <c r="K235" t="s">
        <v>15</v>
      </c>
      <c r="L235" t="s">
        <v>19</v>
      </c>
      <c r="O235">
        <v>59</v>
      </c>
    </row>
    <row r="236" spans="1:15" x14ac:dyDescent="0.45">
      <c r="A236">
        <v>59</v>
      </c>
      <c r="B236" t="s">
        <v>12</v>
      </c>
      <c r="C236" s="1">
        <v>44083.686805555553</v>
      </c>
      <c r="D236">
        <v>10</v>
      </c>
      <c r="E236" t="s">
        <v>13</v>
      </c>
      <c r="F236">
        <v>11</v>
      </c>
      <c r="G236" t="s">
        <v>14</v>
      </c>
      <c r="H236">
        <v>27</v>
      </c>
      <c r="I236">
        <v>12</v>
      </c>
      <c r="J236">
        <v>3</v>
      </c>
      <c r="K236" t="s">
        <v>15</v>
      </c>
      <c r="L236" t="s">
        <v>16</v>
      </c>
      <c r="O236">
        <v>247</v>
      </c>
    </row>
    <row r="237" spans="1:15" x14ac:dyDescent="0.45">
      <c r="A237">
        <v>247</v>
      </c>
      <c r="B237" t="s">
        <v>12</v>
      </c>
      <c r="C237" s="1">
        <v>44002.408333333333</v>
      </c>
      <c r="D237">
        <v>11</v>
      </c>
      <c r="E237" t="s">
        <v>13</v>
      </c>
      <c r="F237">
        <v>11</v>
      </c>
      <c r="G237" t="s">
        <v>14</v>
      </c>
      <c r="H237">
        <v>84</v>
      </c>
      <c r="I237">
        <v>32</v>
      </c>
      <c r="J237">
        <v>4</v>
      </c>
      <c r="K237" t="s">
        <v>15</v>
      </c>
      <c r="L237" t="s">
        <v>16</v>
      </c>
      <c r="O237">
        <v>142</v>
      </c>
    </row>
    <row r="238" spans="1:15" x14ac:dyDescent="0.45">
      <c r="A238">
        <v>142</v>
      </c>
      <c r="B238" t="s">
        <v>18</v>
      </c>
      <c r="C238" s="1">
        <v>43979.399305555555</v>
      </c>
      <c r="D238">
        <v>15</v>
      </c>
      <c r="E238" t="s">
        <v>13</v>
      </c>
      <c r="F238">
        <v>11</v>
      </c>
      <c r="G238" t="s">
        <v>14</v>
      </c>
      <c r="H238">
        <v>64</v>
      </c>
      <c r="I238">
        <v>38</v>
      </c>
      <c r="J238">
        <v>5</v>
      </c>
      <c r="K238" t="s">
        <v>15</v>
      </c>
      <c r="L238" t="s">
        <v>19</v>
      </c>
      <c r="O238">
        <v>412</v>
      </c>
    </row>
    <row r="239" spans="1:15" x14ac:dyDescent="0.45">
      <c r="A239">
        <v>412</v>
      </c>
      <c r="B239" t="s">
        <v>12</v>
      </c>
      <c r="C239" s="1">
        <v>44122.586805555555</v>
      </c>
      <c r="D239">
        <v>15</v>
      </c>
      <c r="E239" t="s">
        <v>13</v>
      </c>
      <c r="F239">
        <v>11</v>
      </c>
      <c r="G239" t="s">
        <v>14</v>
      </c>
      <c r="H239">
        <v>43</v>
      </c>
      <c r="I239">
        <v>18</v>
      </c>
      <c r="J239">
        <v>3</v>
      </c>
      <c r="K239" t="s">
        <v>15</v>
      </c>
      <c r="L239" t="s">
        <v>16</v>
      </c>
      <c r="O239">
        <v>452</v>
      </c>
    </row>
    <row r="240" spans="1:15" x14ac:dyDescent="0.45">
      <c r="A240">
        <v>452</v>
      </c>
      <c r="B240" t="s">
        <v>12</v>
      </c>
      <c r="C240" s="1">
        <v>44202.423611111109</v>
      </c>
      <c r="D240">
        <v>8</v>
      </c>
      <c r="E240" t="s">
        <v>13</v>
      </c>
      <c r="F240">
        <v>11</v>
      </c>
      <c r="G240" t="s">
        <v>20</v>
      </c>
      <c r="H240">
        <v>59.9</v>
      </c>
      <c r="I240">
        <v>18.5</v>
      </c>
      <c r="J240">
        <v>5</v>
      </c>
      <c r="K240" t="s">
        <v>15</v>
      </c>
      <c r="L240" t="s">
        <v>16</v>
      </c>
      <c r="O240">
        <v>573</v>
      </c>
    </row>
    <row r="241" spans="1:15" x14ac:dyDescent="0.45">
      <c r="A241">
        <v>573</v>
      </c>
      <c r="B241" t="s">
        <v>12</v>
      </c>
      <c r="C241" s="1">
        <v>44119.611111111109</v>
      </c>
      <c r="D241">
        <v>11</v>
      </c>
      <c r="E241" t="s">
        <v>13</v>
      </c>
      <c r="F241">
        <v>11</v>
      </c>
      <c r="G241" t="s">
        <v>17</v>
      </c>
      <c r="H241">
        <v>32.799999999999997</v>
      </c>
      <c r="I241">
        <v>24.8</v>
      </c>
      <c r="J241">
        <v>5</v>
      </c>
      <c r="K241" t="s">
        <v>15</v>
      </c>
      <c r="L241" t="s">
        <v>16</v>
      </c>
      <c r="O241">
        <v>138</v>
      </c>
    </row>
    <row r="242" spans="1:15" x14ac:dyDescent="0.45">
      <c r="A242">
        <v>138</v>
      </c>
      <c r="B242" t="s">
        <v>12</v>
      </c>
      <c r="C242" s="1">
        <v>43913.584722222222</v>
      </c>
      <c r="D242">
        <v>9</v>
      </c>
      <c r="E242" t="s">
        <v>13</v>
      </c>
      <c r="F242">
        <v>11</v>
      </c>
      <c r="G242" t="s">
        <v>17</v>
      </c>
      <c r="H242">
        <v>33.5</v>
      </c>
      <c r="I242">
        <v>14.8</v>
      </c>
      <c r="J242">
        <v>6</v>
      </c>
      <c r="K242" t="s">
        <v>15</v>
      </c>
      <c r="L242" t="s">
        <v>16</v>
      </c>
      <c r="O242">
        <v>505</v>
      </c>
    </row>
    <row r="243" spans="1:15" x14ac:dyDescent="0.45">
      <c r="A243">
        <v>505</v>
      </c>
      <c r="B243" t="s">
        <v>18</v>
      </c>
      <c r="C243" s="1">
        <v>44192.402083333334</v>
      </c>
      <c r="D243">
        <v>9</v>
      </c>
      <c r="E243" t="s">
        <v>13</v>
      </c>
      <c r="F243">
        <v>11</v>
      </c>
      <c r="G243" t="s">
        <v>17</v>
      </c>
      <c r="H243">
        <v>29.7</v>
      </c>
      <c r="I243">
        <v>10.3</v>
      </c>
      <c r="J243">
        <v>4</v>
      </c>
      <c r="K243" t="s">
        <v>15</v>
      </c>
      <c r="L243" t="s">
        <v>19</v>
      </c>
      <c r="O243">
        <v>499</v>
      </c>
    </row>
    <row r="244" spans="1:15" x14ac:dyDescent="0.45">
      <c r="A244">
        <v>499</v>
      </c>
      <c r="B244" t="s">
        <v>18</v>
      </c>
      <c r="C244" s="1">
        <v>44208.400694444441</v>
      </c>
      <c r="D244">
        <v>17</v>
      </c>
      <c r="E244" t="s">
        <v>13</v>
      </c>
      <c r="F244">
        <v>11</v>
      </c>
      <c r="G244" t="s">
        <v>17</v>
      </c>
      <c r="H244">
        <v>35.799999999999997</v>
      </c>
      <c r="I244">
        <v>26.8</v>
      </c>
      <c r="J244">
        <v>5</v>
      </c>
      <c r="K244" t="s">
        <v>15</v>
      </c>
      <c r="L244" t="s">
        <v>19</v>
      </c>
      <c r="O244">
        <v>182</v>
      </c>
    </row>
    <row r="245" spans="1:15" x14ac:dyDescent="0.45">
      <c r="A245">
        <v>182</v>
      </c>
      <c r="B245" t="s">
        <v>12</v>
      </c>
      <c r="C245" s="1">
        <v>44051.43472222222</v>
      </c>
      <c r="D245">
        <v>10</v>
      </c>
      <c r="E245" t="s">
        <v>13</v>
      </c>
      <c r="F245">
        <v>11</v>
      </c>
      <c r="G245" t="s">
        <v>14</v>
      </c>
      <c r="H245">
        <v>22.5</v>
      </c>
      <c r="I245">
        <v>5.5</v>
      </c>
      <c r="J245">
        <v>3</v>
      </c>
      <c r="K245" t="s">
        <v>15</v>
      </c>
      <c r="L245" t="s">
        <v>16</v>
      </c>
      <c r="O245">
        <v>19</v>
      </c>
    </row>
    <row r="246" spans="1:15" x14ac:dyDescent="0.45">
      <c r="A246">
        <v>19</v>
      </c>
      <c r="B246" t="s">
        <v>18</v>
      </c>
      <c r="C246" s="1">
        <v>44161.433333333334</v>
      </c>
      <c r="D246">
        <v>8</v>
      </c>
      <c r="E246" t="s">
        <v>13</v>
      </c>
      <c r="F246">
        <v>11</v>
      </c>
      <c r="G246" t="s">
        <v>14</v>
      </c>
      <c r="H246">
        <v>26</v>
      </c>
      <c r="I246">
        <v>11.5</v>
      </c>
      <c r="J246">
        <v>3</v>
      </c>
      <c r="K246" t="s">
        <v>15</v>
      </c>
      <c r="L246" t="s">
        <v>19</v>
      </c>
      <c r="O246">
        <v>55</v>
      </c>
    </row>
    <row r="247" spans="1:15" x14ac:dyDescent="0.45">
      <c r="A247">
        <v>55</v>
      </c>
      <c r="B247" t="s">
        <v>12</v>
      </c>
      <c r="C247" s="1">
        <v>44002.631944444445</v>
      </c>
      <c r="D247">
        <v>11</v>
      </c>
      <c r="E247" t="s">
        <v>13</v>
      </c>
      <c r="F247">
        <v>11</v>
      </c>
      <c r="G247" t="s">
        <v>14</v>
      </c>
      <c r="H247">
        <v>33</v>
      </c>
      <c r="I247">
        <v>12</v>
      </c>
      <c r="J247">
        <v>6</v>
      </c>
      <c r="K247" t="s">
        <v>15</v>
      </c>
      <c r="L247" t="s">
        <v>16</v>
      </c>
      <c r="O247">
        <v>589</v>
      </c>
    </row>
    <row r="248" spans="1:15" x14ac:dyDescent="0.45">
      <c r="A248">
        <v>589</v>
      </c>
      <c r="B248" t="s">
        <v>12</v>
      </c>
      <c r="C248" s="1">
        <v>44009.490972222222</v>
      </c>
      <c r="D248">
        <v>9</v>
      </c>
      <c r="E248" t="s">
        <v>13</v>
      </c>
      <c r="F248">
        <v>13</v>
      </c>
      <c r="G248" t="s">
        <v>20</v>
      </c>
      <c r="H248">
        <v>48.9</v>
      </c>
      <c r="I248">
        <v>25.1</v>
      </c>
      <c r="J248">
        <v>5</v>
      </c>
      <c r="K248" t="s">
        <v>15</v>
      </c>
      <c r="L248" t="s">
        <v>16</v>
      </c>
      <c r="O248">
        <v>308</v>
      </c>
    </row>
    <row r="249" spans="1:15" x14ac:dyDescent="0.45">
      <c r="A249">
        <v>308</v>
      </c>
      <c r="B249" t="s">
        <v>18</v>
      </c>
      <c r="C249" s="1">
        <v>44160.51458333333</v>
      </c>
      <c r="D249">
        <v>16</v>
      </c>
      <c r="E249" t="s">
        <v>13</v>
      </c>
      <c r="F249">
        <v>13</v>
      </c>
      <c r="G249" t="s">
        <v>17</v>
      </c>
      <c r="H249">
        <v>85.9</v>
      </c>
      <c r="I249">
        <v>47.7</v>
      </c>
      <c r="J249">
        <v>3</v>
      </c>
      <c r="L249" t="s">
        <v>19</v>
      </c>
      <c r="O249">
        <v>14</v>
      </c>
    </row>
    <row r="250" spans="1:15" x14ac:dyDescent="0.45">
      <c r="A250">
        <v>14</v>
      </c>
      <c r="B250" t="s">
        <v>18</v>
      </c>
      <c r="C250" s="1">
        <v>44282.440972222219</v>
      </c>
      <c r="D250">
        <v>9</v>
      </c>
      <c r="E250" t="s">
        <v>13</v>
      </c>
      <c r="F250">
        <v>13</v>
      </c>
      <c r="G250" t="s">
        <v>14</v>
      </c>
      <c r="H250">
        <v>101</v>
      </c>
      <c r="I250">
        <v>76</v>
      </c>
      <c r="J250">
        <v>5</v>
      </c>
      <c r="K250" t="s">
        <v>15</v>
      </c>
      <c r="L250" t="s">
        <v>19</v>
      </c>
      <c r="O250">
        <v>291</v>
      </c>
    </row>
    <row r="251" spans="1:15" x14ac:dyDescent="0.45">
      <c r="A251">
        <v>291</v>
      </c>
      <c r="B251" t="s">
        <v>12</v>
      </c>
      <c r="C251" s="1">
        <v>44005.434027777781</v>
      </c>
      <c r="D251">
        <v>6</v>
      </c>
      <c r="E251" t="s">
        <v>13</v>
      </c>
      <c r="F251">
        <v>13</v>
      </c>
      <c r="G251" t="s">
        <v>14</v>
      </c>
      <c r="H251">
        <v>27</v>
      </c>
      <c r="I251">
        <v>7.5</v>
      </c>
      <c r="J251">
        <v>3</v>
      </c>
      <c r="K251" t="s">
        <v>15</v>
      </c>
      <c r="L251" t="s">
        <v>16</v>
      </c>
      <c r="O251">
        <v>360</v>
      </c>
    </row>
    <row r="252" spans="1:15" x14ac:dyDescent="0.45">
      <c r="A252">
        <v>360</v>
      </c>
      <c r="B252" t="s">
        <v>12</v>
      </c>
      <c r="C252" s="1">
        <v>44300.445138888892</v>
      </c>
      <c r="D252">
        <v>16</v>
      </c>
      <c r="E252" t="s">
        <v>13</v>
      </c>
      <c r="F252">
        <v>13</v>
      </c>
      <c r="G252" t="s">
        <v>14</v>
      </c>
      <c r="H252">
        <v>70</v>
      </c>
      <c r="I252">
        <v>28</v>
      </c>
      <c r="J252">
        <v>4</v>
      </c>
      <c r="K252" t="s">
        <v>15</v>
      </c>
      <c r="L252" t="s">
        <v>16</v>
      </c>
      <c r="O252">
        <v>547</v>
      </c>
    </row>
    <row r="253" spans="1:15" x14ac:dyDescent="0.45">
      <c r="A253">
        <v>547</v>
      </c>
      <c r="B253" t="s">
        <v>12</v>
      </c>
      <c r="C253" s="1">
        <v>44001.46875</v>
      </c>
      <c r="D253">
        <v>15</v>
      </c>
      <c r="E253" t="s">
        <v>13</v>
      </c>
      <c r="F253">
        <v>13</v>
      </c>
      <c r="G253" t="s">
        <v>17</v>
      </c>
      <c r="H253">
        <v>35.5</v>
      </c>
      <c r="I253">
        <v>14</v>
      </c>
      <c r="J253">
        <v>5</v>
      </c>
      <c r="K253" t="s">
        <v>15</v>
      </c>
      <c r="L253" t="s">
        <v>16</v>
      </c>
      <c r="O253">
        <v>133</v>
      </c>
    </row>
    <row r="254" spans="1:15" x14ac:dyDescent="0.45">
      <c r="A254">
        <v>133</v>
      </c>
      <c r="B254" t="s">
        <v>12</v>
      </c>
      <c r="C254" s="1">
        <v>44161.44027777778</v>
      </c>
      <c r="D254">
        <v>8</v>
      </c>
      <c r="E254" t="s">
        <v>13</v>
      </c>
      <c r="F254">
        <v>13</v>
      </c>
      <c r="G254" t="s">
        <v>17</v>
      </c>
      <c r="H254">
        <v>34.4</v>
      </c>
      <c r="I254">
        <v>13.2</v>
      </c>
      <c r="J254">
        <v>9</v>
      </c>
      <c r="K254" t="s">
        <v>15</v>
      </c>
      <c r="L254" t="s">
        <v>16</v>
      </c>
    </row>
  </sheetData>
  <autoFilter ref="A1:L254" xr:uid="{DB5941E1-BBFF-44F6-8823-5025DEC9EBB9}">
    <filterColumn colId="4">
      <filters>
        <filter val="Completed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selected_participants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Tallulah Bagg</dc:creator>
  <cp:lastModifiedBy>Bagg, TR, Miss [26927535@sun.ac.za]</cp:lastModifiedBy>
  <dcterms:created xsi:type="dcterms:W3CDTF">2026-06-18T09:55:07Z</dcterms:created>
  <dcterms:modified xsi:type="dcterms:W3CDTF">2026-10-02T10:05:56Z</dcterms:modified>
</cp:coreProperties>
</file>